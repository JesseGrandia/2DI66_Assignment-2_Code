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20213933\Downloads\"/>
    </mc:Choice>
  </mc:AlternateContent>
  <xr:revisionPtr revIDLastSave="0" documentId="8_{1BE17966-BB6E-46B5-8126-9988F798B2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rival and service processes" sheetId="1" r:id="rId1"/>
    <sheet name="Customer classes and routing" sheetId="2" r:id="rId2"/>
    <sheet name="Adjusted class and routing" sheetId="3" r:id="rId3"/>
  </sheets>
  <definedNames>
    <definedName name="_xlnm.Print_Area" localSheetId="0">'Arrival and service processes'!$A$1:$I$25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B10" i="1"/>
  <c r="C126" i="3"/>
  <c r="C125" i="3"/>
  <c r="C114" i="3"/>
  <c r="C103" i="3"/>
  <c r="C92" i="3"/>
  <c r="C81" i="3"/>
  <c r="C70" i="3"/>
  <c r="C59" i="3"/>
  <c r="C48" i="3"/>
  <c r="C37" i="3"/>
  <c r="C26" i="3"/>
  <c r="C15" i="3"/>
  <c r="C4" i="3"/>
  <c r="D134" i="3"/>
  <c r="E129" i="3" s="1"/>
  <c r="F129" i="3" s="1"/>
  <c r="D133" i="3"/>
  <c r="B125" i="3"/>
  <c r="F130" i="3"/>
  <c r="F128" i="3"/>
  <c r="K114" i="3"/>
  <c r="K48" i="3"/>
  <c r="K103" i="3"/>
  <c r="K81" i="3"/>
  <c r="K59" i="3"/>
  <c r="K37" i="3"/>
  <c r="K26" i="3"/>
  <c r="K15" i="3"/>
  <c r="K4" i="3"/>
  <c r="M119" i="3"/>
  <c r="M118" i="3"/>
  <c r="M117" i="3"/>
  <c r="M108" i="3"/>
  <c r="M107" i="3"/>
  <c r="M106" i="3"/>
  <c r="H110" i="3"/>
  <c r="H109" i="3"/>
  <c r="H108" i="3"/>
  <c r="H107" i="3"/>
  <c r="H106" i="3"/>
  <c r="H99" i="3"/>
  <c r="H98" i="3"/>
  <c r="H97" i="3"/>
  <c r="H96" i="3"/>
  <c r="H95" i="3"/>
  <c r="H88" i="3"/>
  <c r="H87" i="3"/>
  <c r="H86" i="3"/>
  <c r="H85" i="3"/>
  <c r="H84" i="3"/>
  <c r="H77" i="3"/>
  <c r="H76" i="3"/>
  <c r="H75" i="3"/>
  <c r="H74" i="3"/>
  <c r="H73" i="3"/>
  <c r="H66" i="3"/>
  <c r="H65" i="3"/>
  <c r="H64" i="3"/>
  <c r="H63" i="3"/>
  <c r="H62" i="3"/>
  <c r="H55" i="3"/>
  <c r="H54" i="3"/>
  <c r="H53" i="3"/>
  <c r="H52" i="3"/>
  <c r="H51" i="3"/>
  <c r="H44" i="3"/>
  <c r="H43" i="3"/>
  <c r="H42" i="3"/>
  <c r="H41" i="3"/>
  <c r="H40" i="3"/>
  <c r="H33" i="3"/>
  <c r="H32" i="3"/>
  <c r="H31" i="3"/>
  <c r="H30" i="3"/>
  <c r="H29" i="3"/>
  <c r="H22" i="3"/>
  <c r="H21" i="3"/>
  <c r="H20" i="3"/>
  <c r="H19" i="3"/>
  <c r="H18" i="3"/>
  <c r="H11" i="3"/>
  <c r="H10" i="3"/>
  <c r="H9" i="3"/>
  <c r="H8" i="3"/>
  <c r="H7" i="3"/>
  <c r="M86" i="3"/>
  <c r="M85" i="3"/>
  <c r="M84" i="3"/>
  <c r="M9" i="3"/>
  <c r="M8" i="3"/>
  <c r="M7" i="3"/>
  <c r="M20" i="3"/>
  <c r="M19" i="3"/>
  <c r="M18" i="3"/>
  <c r="M31" i="3"/>
  <c r="M30" i="3"/>
  <c r="M29" i="3"/>
  <c r="M42" i="3"/>
  <c r="M41" i="3"/>
  <c r="M40" i="3"/>
  <c r="M64" i="3"/>
  <c r="M63" i="3"/>
  <c r="M62" i="3"/>
  <c r="M52" i="3"/>
  <c r="M53" i="3"/>
  <c r="M51" i="3"/>
  <c r="H121" i="3"/>
  <c r="H120" i="3"/>
  <c r="H119" i="3"/>
  <c r="H118" i="3"/>
  <c r="H117" i="3"/>
  <c r="H121" i="2"/>
  <c r="H120" i="2"/>
  <c r="H119" i="2"/>
  <c r="H118" i="2"/>
  <c r="H117" i="2"/>
  <c r="H110" i="2"/>
  <c r="H109" i="2"/>
  <c r="H108" i="2"/>
  <c r="H107" i="2"/>
  <c r="H106" i="2"/>
  <c r="H99" i="2"/>
  <c r="H98" i="2"/>
  <c r="H97" i="2"/>
  <c r="H96" i="2"/>
  <c r="H95" i="2"/>
  <c r="H88" i="2"/>
  <c r="H87" i="2"/>
  <c r="H86" i="2"/>
  <c r="H85" i="2"/>
  <c r="H84" i="2"/>
  <c r="H77" i="2"/>
  <c r="H76" i="2"/>
  <c r="H75" i="2"/>
  <c r="H74" i="2"/>
  <c r="H73" i="2"/>
  <c r="H66" i="2"/>
  <c r="H65" i="2"/>
  <c r="H64" i="2"/>
  <c r="H63" i="2"/>
  <c r="H62" i="2"/>
  <c r="H55" i="2"/>
  <c r="H54" i="2"/>
  <c r="H53" i="2"/>
  <c r="H52" i="2"/>
  <c r="H51" i="2"/>
  <c r="H44" i="2"/>
  <c r="H43" i="2"/>
  <c r="H42" i="2"/>
  <c r="H41" i="2"/>
  <c r="H40" i="2"/>
  <c r="H33" i="2"/>
  <c r="H32" i="2"/>
  <c r="H31" i="2"/>
  <c r="H30" i="2"/>
  <c r="H29" i="2"/>
  <c r="H22" i="2"/>
  <c r="H21" i="2"/>
  <c r="H20" i="2"/>
  <c r="H19" i="2"/>
  <c r="H18" i="2"/>
  <c r="H8" i="2"/>
  <c r="H9" i="2"/>
  <c r="H10" i="2"/>
  <c r="H11" i="2"/>
  <c r="H7" i="2"/>
  <c r="B12" i="1"/>
</calcChain>
</file>

<file path=xl/sharedStrings.xml><?xml version="1.0" encoding="utf-8"?>
<sst xmlns="http://schemas.openxmlformats.org/spreadsheetml/2006/main" count="457" uniqueCount="56">
  <si>
    <t>Mean</t>
  </si>
  <si>
    <t>Stdev</t>
  </si>
  <si>
    <t>Entrance</t>
  </si>
  <si>
    <t>DcDd</t>
  </si>
  <si>
    <t>Green</t>
  </si>
  <si>
    <t>Rest</t>
  </si>
  <si>
    <t>Opening hours:</t>
  </si>
  <si>
    <t>Arrivals</t>
  </si>
  <si>
    <t>From</t>
  </si>
  <si>
    <t>Until</t>
  </si>
  <si>
    <t>Settings for the Lodewijkstraat</t>
  </si>
  <si>
    <t>Start time</t>
  </si>
  <si>
    <t>Cars per hour</t>
  </si>
  <si>
    <t>Cars per day:</t>
  </si>
  <si>
    <t>Parking spaces</t>
  </si>
  <si>
    <t>Percentage big cars:</t>
  </si>
  <si>
    <t>Sheet 1: Arrival and Service processes</t>
  </si>
  <si>
    <t>Sheet 2: Customer classes and routing</t>
  </si>
  <si>
    <t>Routing matrix</t>
  </si>
  <si>
    <t>To</t>
  </si>
  <si>
    <t>Debris (clean + dirty)</t>
  </si>
  <si>
    <t>Exit</t>
  </si>
  <si>
    <t>Percentage of total:</t>
  </si>
  <si>
    <t>Hall, Debris, Green</t>
  </si>
  <si>
    <t>Customer class:</t>
  </si>
  <si>
    <t>Hall, Debris, Green, Rest 2</t>
  </si>
  <si>
    <t>Hall, Debris, Green, Rest 1</t>
  </si>
  <si>
    <t>Hall, Debris, Green, Rest 3</t>
  </si>
  <si>
    <t>Hall, Debris, Green, Rest 4</t>
  </si>
  <si>
    <t>Debris, Green, Rest</t>
  </si>
  <si>
    <t>Hall, Debris, Rest 1</t>
  </si>
  <si>
    <t>Hall, Debris, Rest 2</t>
  </si>
  <si>
    <t>Hall, Debris, Green 2</t>
  </si>
  <si>
    <t>Hall, Debris, Green 1</t>
  </si>
  <si>
    <t>Hall,  Green, Rest</t>
  </si>
  <si>
    <t>Maximum queue length</t>
  </si>
  <si>
    <t>Small cars</t>
  </si>
  <si>
    <t>Service Times, seconds (Hall: only big cars)</t>
  </si>
  <si>
    <t>Station names</t>
  </si>
  <si>
    <t>Hall Big Cars</t>
  </si>
  <si>
    <t>Hall Small Cars</t>
  </si>
  <si>
    <t>Overflow Small cars</t>
  </si>
  <si>
    <t>Infinite</t>
  </si>
  <si>
    <t>Hall/Overflow</t>
  </si>
  <si>
    <t>2nd trip</t>
  </si>
  <si>
    <t>Green, Rest</t>
  </si>
  <si>
    <t>Total</t>
  </si>
  <si>
    <t>Sum green -&gt; rest</t>
  </si>
  <si>
    <t>Normalized</t>
  </si>
  <si>
    <t xml:space="preserve">New customer: </t>
  </si>
  <si>
    <t>Hall, Debris</t>
  </si>
  <si>
    <t>Hall, Debris, Rest 3</t>
  </si>
  <si>
    <t>Hall, Debris, Rest 4</t>
  </si>
  <si>
    <t>Hall, Debris 1</t>
  </si>
  <si>
    <t>Hall, Debris 2</t>
  </si>
  <si>
    <t>Adjusted (+18.76%)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</si>
</sst>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83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8">
    <xf numFmtId="0" fontId="0" fillId="0" borderId="0" xfId="0"/>
    <xf numFmtId="20" fontId="0" fillId="0" borderId="0" xfId="0" applyNumberFormat="1"/>
    <xf numFmtId="0" fontId="0" fillId="3" borderId="1" xfId="0" applyFill="1" applyBorder="1"/>
    <xf numFmtId="20" fontId="0" fillId="3" borderId="1" xfId="0" applyNumberForma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3" borderId="1" xfId="0" applyNumberFormat="1" applyFill="1" applyBorder="1"/>
    <xf numFmtId="1" fontId="0" fillId="0" borderId="0" xfId="0" applyNumberFormat="1"/>
    <xf numFmtId="0" fontId="4" fillId="0" borderId="0" xfId="0" applyFont="1"/>
    <xf numFmtId="9" fontId="0" fillId="0" borderId="0" xfId="0" applyNumberFormat="1"/>
    <xf numFmtId="0" fontId="1" fillId="0" borderId="1" xfId="0" applyFont="1" applyBorder="1"/>
    <xf numFmtId="9" fontId="0" fillId="3" borderId="4" xfId="0" applyNumberFormat="1" applyFill="1" applyBorder="1"/>
    <xf numFmtId="9" fontId="0" fillId="3" borderId="1" xfId="0" applyNumberFormat="1" applyFill="1" applyBorder="1"/>
    <xf numFmtId="9" fontId="0" fillId="0" borderId="1" xfId="0" applyNumberFormat="1" applyBorder="1"/>
    <xf numFmtId="9" fontId="0" fillId="2" borderId="0" xfId="0" applyNumberFormat="1" applyFill="1"/>
    <xf numFmtId="0" fontId="0" fillId="3" borderId="1" xfId="0" applyFill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10" fontId="0" fillId="0" borderId="0" xfId="0" applyNumberFormat="1"/>
    <xf numFmtId="9" fontId="0" fillId="0" borderId="1" xfId="1" applyFont="1" applyBorder="1"/>
    <xf numFmtId="9" fontId="0" fillId="2" borderId="1" xfId="1" applyFont="1" applyFill="1" applyBorder="1"/>
    <xf numFmtId="10" fontId="0" fillId="3" borderId="1" xfId="0" applyNumberFormat="1" applyFill="1" applyBorder="1"/>
    <xf numFmtId="0" fontId="1" fillId="0" borderId="1" xfId="0" applyFont="1" applyFill="1" applyBorder="1"/>
    <xf numFmtId="164" fontId="0" fillId="0" borderId="1" xfId="1" applyNumberFormat="1" applyFont="1" applyBorder="1"/>
    <xf numFmtId="0" fontId="1" fillId="0" borderId="5" xfId="0" applyFont="1" applyBorder="1"/>
    <xf numFmtId="10" fontId="0" fillId="0" borderId="6" xfId="0" applyNumberFormat="1" applyBorder="1"/>
    <xf numFmtId="0" fontId="1" fillId="0" borderId="7" xfId="0" applyFont="1" applyBorder="1"/>
    <xf numFmtId="10" fontId="0" fillId="0" borderId="8" xfId="0" applyNumberFormat="1" applyBorder="1"/>
    <xf numFmtId="10" fontId="0" fillId="4" borderId="1" xfId="0" applyNumberFormat="1" applyFill="1" applyBorder="1"/>
    <xf numFmtId="0" fontId="0" fillId="3" borderId="1" xfId="0" applyFill="1" applyBorder="1" applyAlignment="1">
      <alignment horizontal="left"/>
    </xf>
    <xf numFmtId="183" fontId="0" fillId="3" borderId="1" xfId="0" applyNumberFormat="1" applyFill="1" applyBorder="1"/>
    <xf numFmtId="2" fontId="0" fillId="3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5"/>
  <sheetViews>
    <sheetView tabSelected="1" zoomScaleNormal="100" workbookViewId="0">
      <selection activeCell="F16" sqref="F16"/>
    </sheetView>
  </sheetViews>
  <sheetFormatPr defaultRowHeight="15" x14ac:dyDescent="0.25"/>
  <cols>
    <col min="1" max="1" width="27.140625" customWidth="1"/>
    <col min="2" max="2" width="17.85546875" customWidth="1"/>
    <col min="3" max="3" width="25.85546875" customWidth="1"/>
    <col min="4" max="4" width="14" customWidth="1"/>
    <col min="6" max="6" width="12.28515625" customWidth="1"/>
  </cols>
  <sheetData>
    <row r="1" spans="1:10" ht="21" x14ac:dyDescent="0.35">
      <c r="A1" s="5" t="s">
        <v>10</v>
      </c>
      <c r="D1" s="5" t="s">
        <v>16</v>
      </c>
    </row>
    <row r="4" spans="1:10" ht="15.75" x14ac:dyDescent="0.25">
      <c r="A4" s="6" t="s">
        <v>6</v>
      </c>
      <c r="B4" t="s">
        <v>8</v>
      </c>
      <c r="C4" t="s">
        <v>9</v>
      </c>
    </row>
    <row r="5" spans="1:10" x14ac:dyDescent="0.25">
      <c r="B5" s="3">
        <v>0.41666666666666669</v>
      </c>
      <c r="C5" s="3">
        <v>0.70833333333333337</v>
      </c>
      <c r="E5" s="1"/>
    </row>
    <row r="6" spans="1:10" x14ac:dyDescent="0.25">
      <c r="E6" s="1"/>
    </row>
    <row r="7" spans="1:10" ht="15.75" x14ac:dyDescent="0.25">
      <c r="A7" s="6" t="s">
        <v>7</v>
      </c>
      <c r="E7" s="1"/>
    </row>
    <row r="8" spans="1:10" x14ac:dyDescent="0.25">
      <c r="A8" t="s">
        <v>11</v>
      </c>
      <c r="B8" s="3">
        <v>0.39583333333333331</v>
      </c>
      <c r="C8" s="3">
        <v>0.41666666666666669</v>
      </c>
      <c r="D8" s="3">
        <v>0.44791666666666669</v>
      </c>
      <c r="E8" s="3">
        <v>0.47916666666666669</v>
      </c>
      <c r="F8" s="3">
        <v>0.54166666666666663</v>
      </c>
      <c r="G8" s="3">
        <v>0.625</v>
      </c>
      <c r="H8" s="3">
        <v>0.6875</v>
      </c>
      <c r="I8" s="3">
        <v>0.70833333333333337</v>
      </c>
    </row>
    <row r="9" spans="1:10" x14ac:dyDescent="0.25">
      <c r="A9" t="s">
        <v>12</v>
      </c>
      <c r="B9" s="2">
        <v>10</v>
      </c>
      <c r="C9" s="2">
        <v>100</v>
      </c>
      <c r="D9" s="2">
        <v>40</v>
      </c>
      <c r="E9" s="2">
        <v>100</v>
      </c>
      <c r="F9" s="2">
        <v>100</v>
      </c>
      <c r="G9" s="2">
        <v>80</v>
      </c>
      <c r="H9" s="2">
        <v>50</v>
      </c>
      <c r="I9" s="2">
        <v>0</v>
      </c>
    </row>
    <row r="10" spans="1:10" x14ac:dyDescent="0.25">
      <c r="A10" t="s">
        <v>55</v>
      </c>
      <c r="B10" s="36">
        <f>B9*1.1876</f>
        <v>11.875999999999999</v>
      </c>
      <c r="C10" s="37">
        <f t="shared" ref="C10:I10" si="0">C9*1.1876</f>
        <v>118.76</v>
      </c>
      <c r="D10" s="36">
        <f t="shared" si="0"/>
        <v>47.503999999999998</v>
      </c>
      <c r="E10" s="37">
        <f t="shared" si="0"/>
        <v>118.76</v>
      </c>
      <c r="F10" s="16">
        <f t="shared" si="0"/>
        <v>118.76</v>
      </c>
      <c r="G10" s="16">
        <f t="shared" si="0"/>
        <v>95.007999999999996</v>
      </c>
      <c r="H10" s="16">
        <f t="shared" si="0"/>
        <v>59.38</v>
      </c>
      <c r="I10" s="16">
        <f t="shared" si="0"/>
        <v>0</v>
      </c>
    </row>
    <row r="11" spans="1:10" x14ac:dyDescent="0.25">
      <c r="E11" s="1"/>
    </row>
    <row r="12" spans="1:10" x14ac:dyDescent="0.25">
      <c r="A12" t="s">
        <v>13</v>
      </c>
      <c r="B12" s="8">
        <f>24*((C8-B8)*B9+(D8-C8)*C9+(E8-D8)*D9+(F8-E8)*E9+(G8-F8)*F9+(H8-G8)*G9+(I8-H8)*H9+(J8-I8)*I9)</f>
        <v>605</v>
      </c>
      <c r="C12" s="8"/>
      <c r="D12" s="8"/>
      <c r="E12" s="8"/>
      <c r="F12" s="8"/>
      <c r="G12" s="8"/>
      <c r="H12" s="8"/>
    </row>
    <row r="13" spans="1:10" x14ac:dyDescent="0.25">
      <c r="B13" s="8"/>
      <c r="C13" s="8"/>
      <c r="D13" s="8"/>
      <c r="E13" s="8"/>
      <c r="F13" s="8"/>
      <c r="G13" s="8"/>
      <c r="H13" s="8"/>
    </row>
    <row r="14" spans="1:10" x14ac:dyDescent="0.25">
      <c r="A14" t="s">
        <v>15</v>
      </c>
      <c r="B14" s="13">
        <v>0.47</v>
      </c>
      <c r="C14" s="8"/>
      <c r="D14" s="8"/>
      <c r="E14" s="8"/>
      <c r="F14" s="8"/>
      <c r="G14" s="8"/>
      <c r="H14" s="8"/>
    </row>
    <row r="15" spans="1:10" x14ac:dyDescent="0.25">
      <c r="I15" s="10"/>
      <c r="J15" s="10"/>
    </row>
    <row r="16" spans="1:10" x14ac:dyDescent="0.25">
      <c r="B16" s="17" t="s">
        <v>37</v>
      </c>
      <c r="C16" s="17"/>
      <c r="D16" s="4" t="s">
        <v>14</v>
      </c>
      <c r="E16" s="4" t="s">
        <v>35</v>
      </c>
    </row>
    <row r="17" spans="1:5" x14ac:dyDescent="0.25">
      <c r="A17" t="s">
        <v>38</v>
      </c>
      <c r="B17" t="s">
        <v>0</v>
      </c>
      <c r="C17" t="s">
        <v>1</v>
      </c>
      <c r="D17" t="s">
        <v>36</v>
      </c>
      <c r="E17" t="s">
        <v>36</v>
      </c>
    </row>
    <row r="18" spans="1:5" x14ac:dyDescent="0.25">
      <c r="A18" s="2" t="s">
        <v>2</v>
      </c>
      <c r="B18" s="7">
        <v>30</v>
      </c>
      <c r="C18" s="7">
        <v>12</v>
      </c>
      <c r="D18" s="7">
        <v>1</v>
      </c>
      <c r="E18" s="7" t="s">
        <v>42</v>
      </c>
    </row>
    <row r="19" spans="1:5" x14ac:dyDescent="0.25">
      <c r="A19" s="2" t="s">
        <v>39</v>
      </c>
      <c r="B19" s="7">
        <v>423</v>
      </c>
      <c r="C19" s="7">
        <v>270</v>
      </c>
      <c r="D19" s="7">
        <v>6</v>
      </c>
      <c r="E19" s="7">
        <v>7</v>
      </c>
    </row>
    <row r="20" spans="1:5" x14ac:dyDescent="0.25">
      <c r="A20" s="2" t="s">
        <v>40</v>
      </c>
      <c r="B20" s="7">
        <v>240</v>
      </c>
      <c r="C20" s="7">
        <v>150</v>
      </c>
      <c r="D20" s="7">
        <v>12</v>
      </c>
      <c r="E20" s="7">
        <v>14</v>
      </c>
    </row>
    <row r="21" spans="1:5" x14ac:dyDescent="0.25">
      <c r="A21" s="2" t="s">
        <v>41</v>
      </c>
      <c r="B21" s="7">
        <v>180</v>
      </c>
      <c r="C21" s="7">
        <v>150</v>
      </c>
      <c r="D21" s="7">
        <v>10</v>
      </c>
      <c r="E21" s="7">
        <v>0</v>
      </c>
    </row>
    <row r="22" spans="1:5" x14ac:dyDescent="0.25">
      <c r="A22" s="2" t="s">
        <v>3</v>
      </c>
      <c r="B22" s="7">
        <v>331</v>
      </c>
      <c r="C22" s="7">
        <v>300</v>
      </c>
      <c r="D22" s="7">
        <v>7</v>
      </c>
      <c r="E22" s="7">
        <v>0</v>
      </c>
    </row>
    <row r="23" spans="1:5" x14ac:dyDescent="0.25">
      <c r="A23" s="2" t="s">
        <v>4</v>
      </c>
      <c r="B23" s="7">
        <v>341</v>
      </c>
      <c r="C23" s="7">
        <v>260</v>
      </c>
      <c r="D23" s="7">
        <v>5</v>
      </c>
      <c r="E23" s="7">
        <v>0</v>
      </c>
    </row>
    <row r="24" spans="1:5" x14ac:dyDescent="0.25">
      <c r="A24" s="2" t="s">
        <v>5</v>
      </c>
      <c r="B24" s="7">
        <v>141</v>
      </c>
      <c r="C24" s="7">
        <v>36</v>
      </c>
      <c r="D24" s="7">
        <v>5</v>
      </c>
      <c r="E24" s="7">
        <v>0</v>
      </c>
    </row>
    <row r="25" spans="1:5" ht="15.75" x14ac:dyDescent="0.25">
      <c r="A25" s="9"/>
      <c r="B25" s="9"/>
    </row>
  </sheetData>
  <mergeCells count="1">
    <mergeCell ref="B16:C16"/>
  </mergeCells>
  <pageMargins left="0.7" right="0.7" top="0.75" bottom="0.75" header="0.3" footer="0.3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121"/>
  <sheetViews>
    <sheetView topLeftCell="A97" zoomScaleNormal="100" workbookViewId="0">
      <selection activeCell="C108" sqref="C108"/>
    </sheetView>
  </sheetViews>
  <sheetFormatPr defaultRowHeight="15" x14ac:dyDescent="0.25"/>
  <cols>
    <col min="1" max="1" width="18.5703125" customWidth="1"/>
    <col min="3" max="3" width="21.7109375" customWidth="1"/>
    <col min="4" max="4" width="20.28515625" customWidth="1"/>
    <col min="5" max="5" width="19.5703125" bestFit="1" customWidth="1"/>
  </cols>
  <sheetData>
    <row r="1" spans="1:11" ht="21" x14ac:dyDescent="0.35">
      <c r="A1" s="5" t="s">
        <v>10</v>
      </c>
      <c r="D1" s="5" t="s">
        <v>17</v>
      </c>
    </row>
    <row r="3" spans="1:11" x14ac:dyDescent="0.25">
      <c r="A3" s="4" t="s">
        <v>24</v>
      </c>
      <c r="B3" s="22" t="s">
        <v>23</v>
      </c>
      <c r="C3" s="23"/>
      <c r="D3" s="23"/>
      <c r="K3" s="10"/>
    </row>
    <row r="4" spans="1:11" x14ac:dyDescent="0.25">
      <c r="A4" s="4" t="s">
        <v>22</v>
      </c>
      <c r="B4" s="12">
        <v>0.12</v>
      </c>
    </row>
    <row r="5" spans="1:11" x14ac:dyDescent="0.25">
      <c r="A5" s="4" t="s">
        <v>18</v>
      </c>
      <c r="D5" s="20" t="s">
        <v>19</v>
      </c>
      <c r="E5" s="21"/>
      <c r="F5" s="21"/>
      <c r="G5" s="21"/>
      <c r="H5" s="21"/>
    </row>
    <row r="6" spans="1:11" x14ac:dyDescent="0.25">
      <c r="C6" s="11"/>
      <c r="D6" s="11" t="s">
        <v>43</v>
      </c>
      <c r="E6" s="11" t="s">
        <v>20</v>
      </c>
      <c r="F6" s="11" t="s">
        <v>4</v>
      </c>
      <c r="G6" s="11" t="s">
        <v>5</v>
      </c>
      <c r="H6" s="11" t="s">
        <v>21</v>
      </c>
    </row>
    <row r="7" spans="1:11" x14ac:dyDescent="0.25">
      <c r="B7" s="18" t="s">
        <v>8</v>
      </c>
      <c r="C7" s="11" t="s">
        <v>2</v>
      </c>
      <c r="D7" s="13">
        <v>1</v>
      </c>
      <c r="E7" s="13">
        <v>0</v>
      </c>
      <c r="F7" s="13">
        <v>0</v>
      </c>
      <c r="G7" s="13">
        <v>0</v>
      </c>
      <c r="H7" s="14">
        <f>1-SUM(D7:G7)</f>
        <v>0</v>
      </c>
    </row>
    <row r="8" spans="1:11" x14ac:dyDescent="0.25">
      <c r="B8" s="19"/>
      <c r="C8" s="11" t="s">
        <v>43</v>
      </c>
      <c r="D8" s="15"/>
      <c r="E8" s="13">
        <v>0.13</v>
      </c>
      <c r="F8" s="13">
        <v>0.31</v>
      </c>
      <c r="G8" s="13">
        <v>0</v>
      </c>
      <c r="H8" s="14">
        <f t="shared" ref="H8:H11" si="0">1-SUM(D8:G8)</f>
        <v>0.56000000000000005</v>
      </c>
    </row>
    <row r="9" spans="1:11" x14ac:dyDescent="0.25">
      <c r="B9" s="19"/>
      <c r="C9" s="11" t="s">
        <v>20</v>
      </c>
      <c r="D9" s="15"/>
      <c r="E9" s="15"/>
      <c r="F9" s="13">
        <v>0</v>
      </c>
      <c r="G9" s="13">
        <v>0</v>
      </c>
      <c r="H9" s="14">
        <f t="shared" si="0"/>
        <v>1</v>
      </c>
    </row>
    <row r="10" spans="1:11" x14ac:dyDescent="0.25">
      <c r="B10" s="19"/>
      <c r="C10" s="11" t="s">
        <v>4</v>
      </c>
      <c r="D10" s="15"/>
      <c r="E10" s="15"/>
      <c r="F10" s="15"/>
      <c r="G10" s="13">
        <v>0</v>
      </c>
      <c r="H10" s="14">
        <f t="shared" si="0"/>
        <v>1</v>
      </c>
    </row>
    <row r="11" spans="1:11" x14ac:dyDescent="0.25">
      <c r="B11" s="19"/>
      <c r="C11" s="11" t="s">
        <v>5</v>
      </c>
      <c r="D11" s="15"/>
      <c r="E11" s="15"/>
      <c r="F11" s="15"/>
      <c r="G11" s="15"/>
      <c r="H11" s="14">
        <f t="shared" si="0"/>
        <v>1</v>
      </c>
    </row>
    <row r="14" spans="1:11" x14ac:dyDescent="0.25">
      <c r="A14" s="4" t="s">
        <v>24</v>
      </c>
      <c r="B14" s="22" t="s">
        <v>26</v>
      </c>
      <c r="C14" s="23"/>
      <c r="D14" s="23"/>
    </row>
    <row r="15" spans="1:11" x14ac:dyDescent="0.25">
      <c r="A15" s="4" t="s">
        <v>22</v>
      </c>
      <c r="B15" s="12">
        <v>0.08</v>
      </c>
    </row>
    <row r="16" spans="1:11" x14ac:dyDescent="0.25">
      <c r="A16" s="4" t="s">
        <v>18</v>
      </c>
      <c r="D16" s="20" t="s">
        <v>19</v>
      </c>
      <c r="E16" s="21"/>
      <c r="F16" s="21"/>
      <c r="G16" s="21"/>
      <c r="H16" s="21"/>
    </row>
    <row r="17" spans="1:8" x14ac:dyDescent="0.25">
      <c r="C17" s="11"/>
      <c r="D17" s="11" t="s">
        <v>43</v>
      </c>
      <c r="E17" s="11" t="s">
        <v>20</v>
      </c>
      <c r="F17" s="11" t="s">
        <v>4</v>
      </c>
      <c r="G17" s="11" t="s">
        <v>5</v>
      </c>
      <c r="H17" s="11" t="s">
        <v>21</v>
      </c>
    </row>
    <row r="18" spans="1:8" x14ac:dyDescent="0.25">
      <c r="B18" s="18" t="s">
        <v>8</v>
      </c>
      <c r="C18" s="11" t="s">
        <v>2</v>
      </c>
      <c r="D18" s="13">
        <v>1</v>
      </c>
      <c r="E18" s="13">
        <v>0</v>
      </c>
      <c r="F18" s="13">
        <v>0</v>
      </c>
      <c r="G18" s="13">
        <v>0</v>
      </c>
      <c r="H18" s="14">
        <f>1-SUM(D18:G18)</f>
        <v>0</v>
      </c>
    </row>
    <row r="19" spans="1:8" x14ac:dyDescent="0.25">
      <c r="B19" s="19"/>
      <c r="C19" s="11" t="s">
        <v>43</v>
      </c>
      <c r="D19" s="15"/>
      <c r="E19" s="13">
        <v>0.26</v>
      </c>
      <c r="F19" s="13">
        <v>0.16</v>
      </c>
      <c r="G19" s="13">
        <v>0.1</v>
      </c>
      <c r="H19" s="14">
        <f t="shared" ref="H19:H22" si="1">1-SUM(D19:G19)</f>
        <v>0.48</v>
      </c>
    </row>
    <row r="20" spans="1:8" x14ac:dyDescent="0.25">
      <c r="B20" s="19"/>
      <c r="C20" s="11" t="s">
        <v>20</v>
      </c>
      <c r="D20" s="15"/>
      <c r="E20" s="15"/>
      <c r="F20" s="13">
        <v>0.6</v>
      </c>
      <c r="G20" s="13">
        <v>0</v>
      </c>
      <c r="H20" s="14">
        <f t="shared" si="1"/>
        <v>0.4</v>
      </c>
    </row>
    <row r="21" spans="1:8" x14ac:dyDescent="0.25">
      <c r="B21" s="19"/>
      <c r="C21" s="11" t="s">
        <v>4</v>
      </c>
      <c r="D21" s="15"/>
      <c r="E21" s="15"/>
      <c r="F21" s="15"/>
      <c r="G21" s="13">
        <v>0</v>
      </c>
      <c r="H21" s="14">
        <f t="shared" si="1"/>
        <v>1</v>
      </c>
    </row>
    <row r="22" spans="1:8" x14ac:dyDescent="0.25">
      <c r="B22" s="19"/>
      <c r="C22" s="11" t="s">
        <v>5</v>
      </c>
      <c r="D22" s="15"/>
      <c r="E22" s="15"/>
      <c r="F22" s="15"/>
      <c r="G22" s="15"/>
      <c r="H22" s="14">
        <f t="shared" si="1"/>
        <v>1</v>
      </c>
    </row>
    <row r="25" spans="1:8" x14ac:dyDescent="0.25">
      <c r="A25" s="4" t="s">
        <v>24</v>
      </c>
      <c r="B25" s="22" t="s">
        <v>25</v>
      </c>
      <c r="C25" s="23"/>
      <c r="D25" s="23"/>
    </row>
    <row r="26" spans="1:8" x14ac:dyDescent="0.25">
      <c r="A26" s="4" t="s">
        <v>22</v>
      </c>
      <c r="B26" s="12">
        <v>7.0000000000000007E-2</v>
      </c>
    </row>
    <row r="27" spans="1:8" x14ac:dyDescent="0.25">
      <c r="A27" s="4" t="s">
        <v>18</v>
      </c>
      <c r="D27" s="20" t="s">
        <v>19</v>
      </c>
      <c r="E27" s="21"/>
      <c r="F27" s="21"/>
      <c r="G27" s="21"/>
      <c r="H27" s="21"/>
    </row>
    <row r="28" spans="1:8" x14ac:dyDescent="0.25">
      <c r="C28" s="11"/>
      <c r="D28" s="11" t="s">
        <v>43</v>
      </c>
      <c r="E28" s="11" t="s">
        <v>20</v>
      </c>
      <c r="F28" s="11" t="s">
        <v>4</v>
      </c>
      <c r="G28" s="11" t="s">
        <v>5</v>
      </c>
      <c r="H28" s="11" t="s">
        <v>21</v>
      </c>
    </row>
    <row r="29" spans="1:8" x14ac:dyDescent="0.25">
      <c r="B29" s="18" t="s">
        <v>8</v>
      </c>
      <c r="C29" s="11" t="s">
        <v>2</v>
      </c>
      <c r="D29" s="13">
        <v>1</v>
      </c>
      <c r="E29" s="13">
        <v>0</v>
      </c>
      <c r="F29" s="13">
        <v>0</v>
      </c>
      <c r="G29" s="13">
        <v>0</v>
      </c>
      <c r="H29" s="14">
        <f>1-SUM(D29:G29)</f>
        <v>0</v>
      </c>
    </row>
    <row r="30" spans="1:8" x14ac:dyDescent="0.25">
      <c r="B30" s="19"/>
      <c r="C30" s="11" t="s">
        <v>43</v>
      </c>
      <c r="D30" s="15"/>
      <c r="E30" s="13">
        <v>0.37</v>
      </c>
      <c r="F30" s="13">
        <v>0.12</v>
      </c>
      <c r="G30" s="13">
        <v>0.06</v>
      </c>
      <c r="H30" s="14">
        <f t="shared" ref="H30:H33" si="2">1-SUM(D30:G30)</f>
        <v>0.44999999999999996</v>
      </c>
    </row>
    <row r="31" spans="1:8" x14ac:dyDescent="0.25">
      <c r="B31" s="19"/>
      <c r="C31" s="11" t="s">
        <v>20</v>
      </c>
      <c r="D31" s="15"/>
      <c r="E31" s="15"/>
      <c r="F31" s="13">
        <v>0.33</v>
      </c>
      <c r="G31" s="13">
        <v>0</v>
      </c>
      <c r="H31" s="14">
        <f t="shared" si="2"/>
        <v>0.66999999999999993</v>
      </c>
    </row>
    <row r="32" spans="1:8" x14ac:dyDescent="0.25">
      <c r="B32" s="19"/>
      <c r="C32" s="11" t="s">
        <v>4</v>
      </c>
      <c r="D32" s="15"/>
      <c r="E32" s="15"/>
      <c r="F32" s="15"/>
      <c r="G32" s="13">
        <v>0</v>
      </c>
      <c r="H32" s="14">
        <f t="shared" si="2"/>
        <v>1</v>
      </c>
    </row>
    <row r="33" spans="1:8" x14ac:dyDescent="0.25">
      <c r="B33" s="19"/>
      <c r="C33" s="11" t="s">
        <v>5</v>
      </c>
      <c r="D33" s="15"/>
      <c r="E33" s="15"/>
      <c r="F33" s="15"/>
      <c r="G33" s="15"/>
      <c r="H33" s="14">
        <f t="shared" si="2"/>
        <v>1</v>
      </c>
    </row>
    <row r="36" spans="1:8" x14ac:dyDescent="0.25">
      <c r="A36" s="4" t="s">
        <v>24</v>
      </c>
      <c r="B36" s="22" t="s">
        <v>27</v>
      </c>
      <c r="C36" s="23"/>
      <c r="D36" s="23"/>
    </row>
    <row r="37" spans="1:8" x14ac:dyDescent="0.25">
      <c r="A37" s="4" t="s">
        <v>22</v>
      </c>
      <c r="B37" s="12">
        <v>0.04</v>
      </c>
    </row>
    <row r="38" spans="1:8" x14ac:dyDescent="0.25">
      <c r="A38" s="4" t="s">
        <v>18</v>
      </c>
      <c r="D38" s="20" t="s">
        <v>19</v>
      </c>
      <c r="E38" s="21"/>
      <c r="F38" s="21"/>
      <c r="G38" s="21"/>
      <c r="H38" s="21"/>
    </row>
    <row r="39" spans="1:8" x14ac:dyDescent="0.25">
      <c r="C39" s="11"/>
      <c r="D39" s="11" t="s">
        <v>43</v>
      </c>
      <c r="E39" s="11" t="s">
        <v>20</v>
      </c>
      <c r="F39" s="11" t="s">
        <v>4</v>
      </c>
      <c r="G39" s="11" t="s">
        <v>5</v>
      </c>
      <c r="H39" s="11" t="s">
        <v>21</v>
      </c>
    </row>
    <row r="40" spans="1:8" x14ac:dyDescent="0.25">
      <c r="B40" s="18" t="s">
        <v>8</v>
      </c>
      <c r="C40" s="11" t="s">
        <v>2</v>
      </c>
      <c r="D40" s="13">
        <v>1</v>
      </c>
      <c r="E40" s="13">
        <v>0</v>
      </c>
      <c r="F40" s="13">
        <v>0</v>
      </c>
      <c r="G40" s="13">
        <v>0</v>
      </c>
      <c r="H40" s="14">
        <f>1-SUM(D40:G40)</f>
        <v>0</v>
      </c>
    </row>
    <row r="41" spans="1:8" x14ac:dyDescent="0.25">
      <c r="B41" s="19"/>
      <c r="C41" s="11" t="s">
        <v>43</v>
      </c>
      <c r="D41" s="15"/>
      <c r="E41" s="13">
        <v>0.2</v>
      </c>
      <c r="F41" s="13">
        <v>0.4</v>
      </c>
      <c r="G41" s="13">
        <v>0.4</v>
      </c>
      <c r="H41" s="14">
        <f t="shared" ref="H41:H44" si="3">1-SUM(D41:G41)</f>
        <v>0</v>
      </c>
    </row>
    <row r="42" spans="1:8" x14ac:dyDescent="0.25">
      <c r="B42" s="19"/>
      <c r="C42" s="11" t="s">
        <v>20</v>
      </c>
      <c r="D42" s="15"/>
      <c r="E42" s="15"/>
      <c r="F42" s="13">
        <v>0</v>
      </c>
      <c r="G42" s="13">
        <v>1</v>
      </c>
      <c r="H42" s="14">
        <f t="shared" si="3"/>
        <v>0</v>
      </c>
    </row>
    <row r="43" spans="1:8" x14ac:dyDescent="0.25">
      <c r="B43" s="19"/>
      <c r="C43" s="11" t="s">
        <v>4</v>
      </c>
      <c r="D43" s="15"/>
      <c r="E43" s="15"/>
      <c r="F43" s="15"/>
      <c r="G43" s="13">
        <v>1</v>
      </c>
      <c r="H43" s="14">
        <f t="shared" si="3"/>
        <v>0</v>
      </c>
    </row>
    <row r="44" spans="1:8" x14ac:dyDescent="0.25">
      <c r="B44" s="19"/>
      <c r="C44" s="11" t="s">
        <v>5</v>
      </c>
      <c r="D44" s="15"/>
      <c r="E44" s="15"/>
      <c r="F44" s="15"/>
      <c r="G44" s="15"/>
      <c r="H44" s="14">
        <f t="shared" si="3"/>
        <v>1</v>
      </c>
    </row>
    <row r="47" spans="1:8" x14ac:dyDescent="0.25">
      <c r="A47" s="4" t="s">
        <v>24</v>
      </c>
      <c r="B47" s="22" t="s">
        <v>29</v>
      </c>
      <c r="C47" s="23"/>
      <c r="D47" s="23"/>
    </row>
    <row r="48" spans="1:8" x14ac:dyDescent="0.25">
      <c r="A48" s="4" t="s">
        <v>22</v>
      </c>
      <c r="B48" s="12">
        <v>0.22</v>
      </c>
    </row>
    <row r="49" spans="1:8" x14ac:dyDescent="0.25">
      <c r="A49" s="4" t="s">
        <v>18</v>
      </c>
      <c r="D49" s="20" t="s">
        <v>19</v>
      </c>
      <c r="E49" s="21"/>
      <c r="F49" s="21"/>
      <c r="G49" s="21"/>
      <c r="H49" s="21"/>
    </row>
    <row r="50" spans="1:8" x14ac:dyDescent="0.25">
      <c r="C50" s="11"/>
      <c r="D50" s="11" t="s">
        <v>43</v>
      </c>
      <c r="E50" s="11" t="s">
        <v>20</v>
      </c>
      <c r="F50" s="11" t="s">
        <v>4</v>
      </c>
      <c r="G50" s="11" t="s">
        <v>5</v>
      </c>
      <c r="H50" s="11" t="s">
        <v>21</v>
      </c>
    </row>
    <row r="51" spans="1:8" x14ac:dyDescent="0.25">
      <c r="B51" s="18" t="s">
        <v>8</v>
      </c>
      <c r="C51" s="11" t="s">
        <v>2</v>
      </c>
      <c r="D51" s="13">
        <v>0</v>
      </c>
      <c r="E51" s="13">
        <v>0.16</v>
      </c>
      <c r="F51" s="13">
        <v>0.37</v>
      </c>
      <c r="G51" s="13">
        <v>0.47</v>
      </c>
      <c r="H51" s="14">
        <f>1-SUM(D51:G51)</f>
        <v>0</v>
      </c>
    </row>
    <row r="52" spans="1:8" x14ac:dyDescent="0.25">
      <c r="B52" s="19"/>
      <c r="C52" s="11" t="s">
        <v>43</v>
      </c>
      <c r="D52" s="15"/>
      <c r="E52" s="13">
        <v>0.22</v>
      </c>
      <c r="F52" s="13">
        <v>0.11</v>
      </c>
      <c r="G52" s="13">
        <v>0</v>
      </c>
      <c r="H52" s="14">
        <f t="shared" ref="H52:H55" si="4">1-SUM(D52:G52)</f>
        <v>0.66999999999999993</v>
      </c>
    </row>
    <row r="53" spans="1:8" x14ac:dyDescent="0.25">
      <c r="B53" s="19"/>
      <c r="C53" s="11" t="s">
        <v>20</v>
      </c>
      <c r="D53" s="15"/>
      <c r="E53" s="15"/>
      <c r="F53" s="13">
        <v>0.09</v>
      </c>
      <c r="G53" s="13">
        <v>0</v>
      </c>
      <c r="H53" s="14">
        <f t="shared" si="4"/>
        <v>0.91</v>
      </c>
    </row>
    <row r="54" spans="1:8" x14ac:dyDescent="0.25">
      <c r="B54" s="19"/>
      <c r="C54" s="11" t="s">
        <v>4</v>
      </c>
      <c r="D54" s="15"/>
      <c r="E54" s="15"/>
      <c r="F54" s="15"/>
      <c r="G54" s="13">
        <v>0.03</v>
      </c>
      <c r="H54" s="14">
        <f t="shared" si="4"/>
        <v>0.97</v>
      </c>
    </row>
    <row r="55" spans="1:8" x14ac:dyDescent="0.25">
      <c r="B55" s="19"/>
      <c r="C55" s="11" t="s">
        <v>5</v>
      </c>
      <c r="D55" s="15"/>
      <c r="E55" s="15"/>
      <c r="F55" s="15"/>
      <c r="G55" s="15"/>
      <c r="H55" s="14">
        <f t="shared" si="4"/>
        <v>1</v>
      </c>
    </row>
    <row r="58" spans="1:8" x14ac:dyDescent="0.25">
      <c r="A58" s="4" t="s">
        <v>24</v>
      </c>
      <c r="B58" s="22" t="s">
        <v>28</v>
      </c>
      <c r="C58" s="23"/>
      <c r="D58" s="23"/>
    </row>
    <row r="59" spans="1:8" x14ac:dyDescent="0.25">
      <c r="A59" s="4" t="s">
        <v>22</v>
      </c>
      <c r="B59" s="12">
        <v>0.22</v>
      </c>
    </row>
    <row r="60" spans="1:8" x14ac:dyDescent="0.25">
      <c r="A60" s="4" t="s">
        <v>18</v>
      </c>
      <c r="D60" s="20" t="s">
        <v>19</v>
      </c>
      <c r="E60" s="21"/>
      <c r="F60" s="21"/>
      <c r="G60" s="21"/>
      <c r="H60" s="21"/>
    </row>
    <row r="61" spans="1:8" x14ac:dyDescent="0.25">
      <c r="C61" s="11"/>
      <c r="D61" s="11" t="s">
        <v>43</v>
      </c>
      <c r="E61" s="11" t="s">
        <v>20</v>
      </c>
      <c r="F61" s="11" t="s">
        <v>4</v>
      </c>
      <c r="G61" s="11" t="s">
        <v>5</v>
      </c>
      <c r="H61" s="11" t="s">
        <v>21</v>
      </c>
    </row>
    <row r="62" spans="1:8" x14ac:dyDescent="0.25">
      <c r="B62" s="18" t="s">
        <v>8</v>
      </c>
      <c r="C62" s="11" t="s">
        <v>2</v>
      </c>
      <c r="D62" s="13">
        <v>1</v>
      </c>
      <c r="E62" s="13">
        <v>0</v>
      </c>
      <c r="F62" s="13">
        <v>0</v>
      </c>
      <c r="G62" s="13">
        <v>0</v>
      </c>
      <c r="H62" s="14">
        <f>1-SUM(D62:G62)</f>
        <v>0</v>
      </c>
    </row>
    <row r="63" spans="1:8" x14ac:dyDescent="0.25">
      <c r="B63" s="19"/>
      <c r="C63" s="11" t="s">
        <v>43</v>
      </c>
      <c r="D63" s="15"/>
      <c r="E63" s="13">
        <v>0.22</v>
      </c>
      <c r="F63" s="13">
        <v>0.2</v>
      </c>
      <c r="G63" s="13">
        <v>0.06</v>
      </c>
      <c r="H63" s="14">
        <f t="shared" ref="H63:H66" si="5">1-SUM(D63:G63)</f>
        <v>0.52</v>
      </c>
    </row>
    <row r="64" spans="1:8" x14ac:dyDescent="0.25">
      <c r="B64" s="19"/>
      <c r="C64" s="11" t="s">
        <v>20</v>
      </c>
      <c r="D64" s="15"/>
      <c r="E64" s="15"/>
      <c r="F64" s="13">
        <v>0.08</v>
      </c>
      <c r="G64" s="13">
        <v>0</v>
      </c>
      <c r="H64" s="14">
        <f t="shared" si="5"/>
        <v>0.92</v>
      </c>
    </row>
    <row r="65" spans="1:8" x14ac:dyDescent="0.25">
      <c r="B65" s="19"/>
      <c r="C65" s="11" t="s">
        <v>4</v>
      </c>
      <c r="D65" s="15"/>
      <c r="E65" s="15"/>
      <c r="F65" s="15"/>
      <c r="G65" s="13">
        <v>0</v>
      </c>
      <c r="H65" s="14">
        <f t="shared" si="5"/>
        <v>1</v>
      </c>
    </row>
    <row r="66" spans="1:8" x14ac:dyDescent="0.25">
      <c r="B66" s="19"/>
      <c r="C66" s="11" t="s">
        <v>5</v>
      </c>
      <c r="D66" s="15"/>
      <c r="E66" s="15"/>
      <c r="F66" s="15"/>
      <c r="G66" s="15"/>
      <c r="H66" s="14">
        <f t="shared" si="5"/>
        <v>1</v>
      </c>
    </row>
    <row r="69" spans="1:8" x14ac:dyDescent="0.25">
      <c r="A69" s="4" t="s">
        <v>24</v>
      </c>
      <c r="B69" s="22" t="s">
        <v>30</v>
      </c>
      <c r="C69" s="23"/>
      <c r="D69" s="23"/>
    </row>
    <row r="70" spans="1:8" x14ac:dyDescent="0.25">
      <c r="A70" s="4" t="s">
        <v>22</v>
      </c>
      <c r="B70" s="12">
        <v>0.03</v>
      </c>
    </row>
    <row r="71" spans="1:8" x14ac:dyDescent="0.25">
      <c r="A71" s="4" t="s">
        <v>18</v>
      </c>
      <c r="D71" s="20" t="s">
        <v>19</v>
      </c>
      <c r="E71" s="21"/>
      <c r="F71" s="21"/>
      <c r="G71" s="21"/>
      <c r="H71" s="21"/>
    </row>
    <row r="72" spans="1:8" x14ac:dyDescent="0.25">
      <c r="C72" s="11"/>
      <c r="D72" s="11" t="s">
        <v>43</v>
      </c>
      <c r="E72" s="11" t="s">
        <v>20</v>
      </c>
      <c r="F72" s="11" t="s">
        <v>4</v>
      </c>
      <c r="G72" s="11" t="s">
        <v>5</v>
      </c>
      <c r="H72" s="11" t="s">
        <v>21</v>
      </c>
    </row>
    <row r="73" spans="1:8" x14ac:dyDescent="0.25">
      <c r="B73" s="18" t="s">
        <v>8</v>
      </c>
      <c r="C73" s="11" t="s">
        <v>2</v>
      </c>
      <c r="D73" s="13">
        <v>1</v>
      </c>
      <c r="E73" s="13">
        <v>0</v>
      </c>
      <c r="F73" s="13">
        <v>0</v>
      </c>
      <c r="G73" s="13">
        <v>0</v>
      </c>
      <c r="H73" s="14">
        <f>1-SUM(D73:G73)</f>
        <v>0</v>
      </c>
    </row>
    <row r="74" spans="1:8" x14ac:dyDescent="0.25">
      <c r="B74" s="19"/>
      <c r="C74" s="11" t="s">
        <v>43</v>
      </c>
      <c r="D74" s="15"/>
      <c r="E74" s="13">
        <v>0.17</v>
      </c>
      <c r="F74" s="13">
        <v>0</v>
      </c>
      <c r="G74" s="13">
        <v>0.33</v>
      </c>
      <c r="H74" s="14">
        <f t="shared" ref="H74:H77" si="6">1-SUM(D74:G74)</f>
        <v>0.5</v>
      </c>
    </row>
    <row r="75" spans="1:8" x14ac:dyDescent="0.25">
      <c r="B75" s="19"/>
      <c r="C75" s="11" t="s">
        <v>20</v>
      </c>
      <c r="D75" s="15"/>
      <c r="E75" s="15"/>
      <c r="F75" s="13">
        <v>0</v>
      </c>
      <c r="G75" s="13">
        <v>0.4</v>
      </c>
      <c r="H75" s="14">
        <f t="shared" si="6"/>
        <v>0.6</v>
      </c>
    </row>
    <row r="76" spans="1:8" x14ac:dyDescent="0.25">
      <c r="B76" s="19"/>
      <c r="C76" s="11" t="s">
        <v>4</v>
      </c>
      <c r="D76" s="15"/>
      <c r="E76" s="15"/>
      <c r="F76" s="15"/>
      <c r="G76" s="13">
        <v>0</v>
      </c>
      <c r="H76" s="14">
        <f t="shared" si="6"/>
        <v>1</v>
      </c>
    </row>
    <row r="77" spans="1:8" x14ac:dyDescent="0.25">
      <c r="B77" s="19"/>
      <c r="C77" s="11" t="s">
        <v>5</v>
      </c>
      <c r="D77" s="15"/>
      <c r="E77" s="15"/>
      <c r="F77" s="15"/>
      <c r="G77" s="15"/>
      <c r="H77" s="14">
        <f t="shared" si="6"/>
        <v>1</v>
      </c>
    </row>
    <row r="80" spans="1:8" x14ac:dyDescent="0.25">
      <c r="A80" s="4" t="s">
        <v>24</v>
      </c>
      <c r="B80" s="22" t="s">
        <v>33</v>
      </c>
      <c r="C80" s="23"/>
      <c r="D80" s="23"/>
    </row>
    <row r="81" spans="1:8" x14ac:dyDescent="0.25">
      <c r="A81" s="4" t="s">
        <v>22</v>
      </c>
      <c r="B81" s="12">
        <v>0.04</v>
      </c>
    </row>
    <row r="82" spans="1:8" x14ac:dyDescent="0.25">
      <c r="A82" s="4" t="s">
        <v>18</v>
      </c>
      <c r="D82" s="20" t="s">
        <v>19</v>
      </c>
      <c r="E82" s="21"/>
      <c r="F82" s="21"/>
      <c r="G82" s="21"/>
      <c r="H82" s="21"/>
    </row>
    <row r="83" spans="1:8" x14ac:dyDescent="0.25">
      <c r="C83" s="11"/>
      <c r="D83" s="11" t="s">
        <v>43</v>
      </c>
      <c r="E83" s="11" t="s">
        <v>20</v>
      </c>
      <c r="F83" s="11" t="s">
        <v>4</v>
      </c>
      <c r="G83" s="11" t="s">
        <v>5</v>
      </c>
      <c r="H83" s="11" t="s">
        <v>21</v>
      </c>
    </row>
    <row r="84" spans="1:8" x14ac:dyDescent="0.25">
      <c r="B84" s="18" t="s">
        <v>8</v>
      </c>
      <c r="C84" s="11" t="s">
        <v>2</v>
      </c>
      <c r="D84" s="13">
        <v>0.82</v>
      </c>
      <c r="E84" s="13">
        <v>0.18</v>
      </c>
      <c r="F84" s="13">
        <v>0</v>
      </c>
      <c r="G84" s="13">
        <v>0</v>
      </c>
      <c r="H84" s="14">
        <f>1-SUM(D84:G84)</f>
        <v>0</v>
      </c>
    </row>
    <row r="85" spans="1:8" x14ac:dyDescent="0.25">
      <c r="B85" s="19"/>
      <c r="C85" s="11" t="s">
        <v>43</v>
      </c>
      <c r="D85" s="15"/>
      <c r="E85" s="13">
        <v>1</v>
      </c>
      <c r="F85" s="13">
        <v>0</v>
      </c>
      <c r="G85" s="13">
        <v>0</v>
      </c>
      <c r="H85" s="14">
        <f t="shared" ref="H85:H88" si="7">1-SUM(D85:G85)</f>
        <v>0</v>
      </c>
    </row>
    <row r="86" spans="1:8" x14ac:dyDescent="0.25">
      <c r="B86" s="19"/>
      <c r="C86" s="11" t="s">
        <v>20</v>
      </c>
      <c r="D86" s="15"/>
      <c r="E86" s="15"/>
      <c r="F86" s="13">
        <v>0.27</v>
      </c>
      <c r="G86" s="13">
        <v>0</v>
      </c>
      <c r="H86" s="14">
        <f t="shared" si="7"/>
        <v>0.73</v>
      </c>
    </row>
    <row r="87" spans="1:8" x14ac:dyDescent="0.25">
      <c r="B87" s="19"/>
      <c r="C87" s="11" t="s">
        <v>4</v>
      </c>
      <c r="D87" s="15"/>
      <c r="E87" s="15"/>
      <c r="F87" s="15"/>
      <c r="G87" s="13">
        <v>0</v>
      </c>
      <c r="H87" s="14">
        <f t="shared" si="7"/>
        <v>1</v>
      </c>
    </row>
    <row r="88" spans="1:8" x14ac:dyDescent="0.25">
      <c r="B88" s="19"/>
      <c r="C88" s="11" t="s">
        <v>5</v>
      </c>
      <c r="D88" s="15"/>
      <c r="E88" s="15"/>
      <c r="F88" s="15"/>
      <c r="G88" s="15"/>
      <c r="H88" s="14">
        <f t="shared" si="7"/>
        <v>1</v>
      </c>
    </row>
    <row r="91" spans="1:8" x14ac:dyDescent="0.25">
      <c r="A91" s="4" t="s">
        <v>24</v>
      </c>
      <c r="B91" s="22" t="s">
        <v>31</v>
      </c>
      <c r="C91" s="23"/>
      <c r="D91" s="23"/>
    </row>
    <row r="92" spans="1:8" x14ac:dyDescent="0.25">
      <c r="A92" s="4" t="s">
        <v>22</v>
      </c>
      <c r="B92" s="12">
        <v>0.01</v>
      </c>
    </row>
    <row r="93" spans="1:8" x14ac:dyDescent="0.25">
      <c r="A93" s="4" t="s">
        <v>18</v>
      </c>
      <c r="D93" s="20" t="s">
        <v>19</v>
      </c>
      <c r="E93" s="21"/>
      <c r="F93" s="21"/>
      <c r="G93" s="21"/>
      <c r="H93" s="21"/>
    </row>
    <row r="94" spans="1:8" x14ac:dyDescent="0.25">
      <c r="C94" s="11"/>
      <c r="D94" s="11" t="s">
        <v>43</v>
      </c>
      <c r="E94" s="11" t="s">
        <v>20</v>
      </c>
      <c r="F94" s="11" t="s">
        <v>4</v>
      </c>
      <c r="G94" s="11" t="s">
        <v>5</v>
      </c>
      <c r="H94" s="11" t="s">
        <v>21</v>
      </c>
    </row>
    <row r="95" spans="1:8" x14ac:dyDescent="0.25">
      <c r="B95" s="18" t="s">
        <v>8</v>
      </c>
      <c r="C95" s="11" t="s">
        <v>2</v>
      </c>
      <c r="D95" s="13">
        <v>1</v>
      </c>
      <c r="E95" s="13">
        <v>0</v>
      </c>
      <c r="F95" s="13">
        <v>0</v>
      </c>
      <c r="G95" s="13">
        <v>0</v>
      </c>
      <c r="H95" s="14">
        <f>1-SUM(D95:G95)</f>
        <v>0</v>
      </c>
    </row>
    <row r="96" spans="1:8" x14ac:dyDescent="0.25">
      <c r="B96" s="19"/>
      <c r="C96" s="11" t="s">
        <v>43</v>
      </c>
      <c r="D96" s="15"/>
      <c r="E96" s="13">
        <v>1</v>
      </c>
      <c r="F96" s="13">
        <v>0</v>
      </c>
      <c r="G96" s="13">
        <v>0</v>
      </c>
      <c r="H96" s="14">
        <f t="shared" ref="H96:H99" si="8">1-SUM(D96:G96)</f>
        <v>0</v>
      </c>
    </row>
    <row r="97" spans="1:8" x14ac:dyDescent="0.25">
      <c r="B97" s="19"/>
      <c r="C97" s="11" t="s">
        <v>20</v>
      </c>
      <c r="D97" s="15"/>
      <c r="E97" s="15"/>
      <c r="F97" s="13">
        <v>0</v>
      </c>
      <c r="G97" s="13">
        <v>0.5</v>
      </c>
      <c r="H97" s="14">
        <f t="shared" si="8"/>
        <v>0.5</v>
      </c>
    </row>
    <row r="98" spans="1:8" x14ac:dyDescent="0.25">
      <c r="B98" s="19"/>
      <c r="C98" s="11" t="s">
        <v>4</v>
      </c>
      <c r="D98" s="15"/>
      <c r="E98" s="15"/>
      <c r="F98" s="15"/>
      <c r="G98" s="13">
        <v>0</v>
      </c>
      <c r="H98" s="14">
        <f t="shared" si="8"/>
        <v>1</v>
      </c>
    </row>
    <row r="99" spans="1:8" x14ac:dyDescent="0.25">
      <c r="B99" s="19"/>
      <c r="C99" s="11" t="s">
        <v>5</v>
      </c>
      <c r="D99" s="15"/>
      <c r="E99" s="15"/>
      <c r="F99" s="15"/>
      <c r="G99" s="15"/>
      <c r="H99" s="14">
        <f t="shared" si="8"/>
        <v>1</v>
      </c>
    </row>
    <row r="102" spans="1:8" x14ac:dyDescent="0.25">
      <c r="A102" s="4" t="s">
        <v>24</v>
      </c>
      <c r="B102" s="22" t="s">
        <v>32</v>
      </c>
      <c r="C102" s="23"/>
      <c r="D102" s="23"/>
    </row>
    <row r="103" spans="1:8" x14ac:dyDescent="0.25">
      <c r="A103" s="4" t="s">
        <v>22</v>
      </c>
      <c r="B103" s="12">
        <v>0.12</v>
      </c>
    </row>
    <row r="104" spans="1:8" x14ac:dyDescent="0.25">
      <c r="A104" s="4" t="s">
        <v>18</v>
      </c>
      <c r="D104" s="20" t="s">
        <v>19</v>
      </c>
      <c r="E104" s="21"/>
      <c r="F104" s="21"/>
      <c r="G104" s="21"/>
      <c r="H104" s="21"/>
    </row>
    <row r="105" spans="1:8" x14ac:dyDescent="0.25">
      <c r="C105" s="11"/>
      <c r="D105" s="11" t="s">
        <v>43</v>
      </c>
      <c r="E105" s="11" t="s">
        <v>20</v>
      </c>
      <c r="F105" s="11" t="s">
        <v>4</v>
      </c>
      <c r="G105" s="11" t="s">
        <v>5</v>
      </c>
      <c r="H105" s="11" t="s">
        <v>21</v>
      </c>
    </row>
    <row r="106" spans="1:8" x14ac:dyDescent="0.25">
      <c r="B106" s="18" t="s">
        <v>8</v>
      </c>
      <c r="C106" s="11" t="s">
        <v>2</v>
      </c>
      <c r="D106" s="13">
        <v>1</v>
      </c>
      <c r="E106" s="13">
        <v>0</v>
      </c>
      <c r="F106" s="13">
        <v>0</v>
      </c>
      <c r="G106" s="13">
        <v>0</v>
      </c>
      <c r="H106" s="14">
        <f>1-SUM(D106:G106)</f>
        <v>0</v>
      </c>
    </row>
    <row r="107" spans="1:8" x14ac:dyDescent="0.25">
      <c r="B107" s="19"/>
      <c r="C107" s="11" t="s">
        <v>43</v>
      </c>
      <c r="D107" s="15"/>
      <c r="E107" s="13">
        <v>0.15</v>
      </c>
      <c r="F107" s="13">
        <v>0.13</v>
      </c>
      <c r="G107" s="13">
        <v>0</v>
      </c>
      <c r="H107" s="14">
        <f t="shared" ref="H107:H110" si="9">1-SUM(D107:G107)</f>
        <v>0.72</v>
      </c>
    </row>
    <row r="108" spans="1:8" x14ac:dyDescent="0.25">
      <c r="B108" s="19"/>
      <c r="C108" s="11" t="s">
        <v>20</v>
      </c>
      <c r="D108" s="15"/>
      <c r="E108" s="15"/>
      <c r="F108" s="13">
        <v>0.4</v>
      </c>
      <c r="G108" s="13">
        <v>0</v>
      </c>
      <c r="H108" s="14">
        <f t="shared" si="9"/>
        <v>0.6</v>
      </c>
    </row>
    <row r="109" spans="1:8" x14ac:dyDescent="0.25">
      <c r="B109" s="19"/>
      <c r="C109" s="11" t="s">
        <v>4</v>
      </c>
      <c r="D109" s="15"/>
      <c r="E109" s="15"/>
      <c r="F109" s="15"/>
      <c r="G109" s="13">
        <v>0</v>
      </c>
      <c r="H109" s="14">
        <f t="shared" si="9"/>
        <v>1</v>
      </c>
    </row>
    <row r="110" spans="1:8" x14ac:dyDescent="0.25">
      <c r="B110" s="19"/>
      <c r="C110" s="11" t="s">
        <v>5</v>
      </c>
      <c r="D110" s="15"/>
      <c r="E110" s="15"/>
      <c r="F110" s="15"/>
      <c r="G110" s="15"/>
      <c r="H110" s="14">
        <f t="shared" si="9"/>
        <v>1</v>
      </c>
    </row>
    <row r="113" spans="1:8" x14ac:dyDescent="0.25">
      <c r="A113" s="4" t="s">
        <v>24</v>
      </c>
      <c r="B113" s="22" t="s">
        <v>34</v>
      </c>
      <c r="C113" s="23"/>
      <c r="D113" s="23"/>
    </row>
    <row r="114" spans="1:8" x14ac:dyDescent="0.25">
      <c r="A114" s="4" t="s">
        <v>22</v>
      </c>
      <c r="B114" s="12">
        <v>0.05</v>
      </c>
    </row>
    <row r="115" spans="1:8" x14ac:dyDescent="0.25">
      <c r="A115" s="4" t="s">
        <v>18</v>
      </c>
      <c r="D115" s="20" t="s">
        <v>19</v>
      </c>
      <c r="E115" s="21"/>
      <c r="F115" s="21"/>
      <c r="G115" s="21"/>
      <c r="H115" s="21"/>
    </row>
    <row r="116" spans="1:8" x14ac:dyDescent="0.25">
      <c r="C116" s="11"/>
      <c r="D116" s="11" t="s">
        <v>43</v>
      </c>
      <c r="E116" s="11" t="s">
        <v>20</v>
      </c>
      <c r="F116" s="11" t="s">
        <v>4</v>
      </c>
      <c r="G116" s="11" t="s">
        <v>5</v>
      </c>
      <c r="H116" s="11" t="s">
        <v>21</v>
      </c>
    </row>
    <row r="117" spans="1:8" x14ac:dyDescent="0.25">
      <c r="B117" s="18" t="s">
        <v>8</v>
      </c>
      <c r="C117" s="11" t="s">
        <v>2</v>
      </c>
      <c r="D117" s="13">
        <v>0.15</v>
      </c>
      <c r="E117" s="13">
        <v>0</v>
      </c>
      <c r="F117" s="13">
        <v>0.85</v>
      </c>
      <c r="G117" s="13">
        <v>0</v>
      </c>
      <c r="H117" s="14">
        <f>1-SUM(D117:G117)</f>
        <v>0</v>
      </c>
    </row>
    <row r="118" spans="1:8" x14ac:dyDescent="0.25">
      <c r="B118" s="19"/>
      <c r="C118" s="11" t="s">
        <v>43</v>
      </c>
      <c r="D118" s="15"/>
      <c r="E118" s="13">
        <v>0</v>
      </c>
      <c r="F118" s="13">
        <v>1</v>
      </c>
      <c r="G118" s="13">
        <v>0</v>
      </c>
      <c r="H118" s="14">
        <f t="shared" ref="H118:H121" si="10">1-SUM(D118:G118)</f>
        <v>0</v>
      </c>
    </row>
    <row r="119" spans="1:8" x14ac:dyDescent="0.25">
      <c r="B119" s="19"/>
      <c r="C119" s="11" t="s">
        <v>20</v>
      </c>
      <c r="D119" s="15"/>
      <c r="E119" s="15"/>
      <c r="F119" s="13">
        <v>0</v>
      </c>
      <c r="G119" s="13">
        <v>0</v>
      </c>
      <c r="H119" s="14">
        <f t="shared" si="10"/>
        <v>1</v>
      </c>
    </row>
    <row r="120" spans="1:8" x14ac:dyDescent="0.25">
      <c r="B120" s="19"/>
      <c r="C120" s="11" t="s">
        <v>4</v>
      </c>
      <c r="D120" s="15"/>
      <c r="E120" s="15"/>
      <c r="F120" s="15"/>
      <c r="G120" s="13">
        <v>0.23</v>
      </c>
      <c r="H120" s="14">
        <f t="shared" si="10"/>
        <v>0.77</v>
      </c>
    </row>
    <row r="121" spans="1:8" x14ac:dyDescent="0.25">
      <c r="B121" s="19"/>
      <c r="C121" s="11" t="s">
        <v>5</v>
      </c>
      <c r="D121" s="15"/>
      <c r="E121" s="15"/>
      <c r="F121" s="15"/>
      <c r="G121" s="15"/>
      <c r="H121" s="14">
        <f t="shared" si="10"/>
        <v>1</v>
      </c>
    </row>
  </sheetData>
  <mergeCells count="33">
    <mergeCell ref="B113:D113"/>
    <mergeCell ref="D115:H115"/>
    <mergeCell ref="B117:B121"/>
    <mergeCell ref="B91:D91"/>
    <mergeCell ref="D93:H93"/>
    <mergeCell ref="B95:B99"/>
    <mergeCell ref="B102:D102"/>
    <mergeCell ref="D104:H104"/>
    <mergeCell ref="B106:B110"/>
    <mergeCell ref="B84:B88"/>
    <mergeCell ref="B47:D47"/>
    <mergeCell ref="D49:H49"/>
    <mergeCell ref="B51:B55"/>
    <mergeCell ref="B58:D58"/>
    <mergeCell ref="D60:H60"/>
    <mergeCell ref="B62:B66"/>
    <mergeCell ref="B69:D69"/>
    <mergeCell ref="D71:H71"/>
    <mergeCell ref="B73:B77"/>
    <mergeCell ref="B80:D80"/>
    <mergeCell ref="D82:H82"/>
    <mergeCell ref="B40:B44"/>
    <mergeCell ref="D5:H5"/>
    <mergeCell ref="B7:B11"/>
    <mergeCell ref="B3:D3"/>
    <mergeCell ref="B14:D14"/>
    <mergeCell ref="D16:H16"/>
    <mergeCell ref="B18:B22"/>
    <mergeCell ref="B25:D25"/>
    <mergeCell ref="D27:H27"/>
    <mergeCell ref="B29:B33"/>
    <mergeCell ref="B36:D36"/>
    <mergeCell ref="D38:H38"/>
  </mergeCells>
  <pageMargins left="0.7" right="0.7" top="0.75" bottom="0.75" header="0.3" footer="0.3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8BA5-E2D6-42B2-8C2F-B2B462843347}">
  <dimension ref="A1:M134"/>
  <sheetViews>
    <sheetView topLeftCell="A109" zoomScaleNormal="100" workbookViewId="0">
      <selection activeCell="J132" sqref="J132"/>
    </sheetView>
  </sheetViews>
  <sheetFormatPr defaultRowHeight="15" x14ac:dyDescent="0.25"/>
  <cols>
    <col min="1" max="1" width="18.5703125" customWidth="1"/>
    <col min="3" max="3" width="21.7109375" customWidth="1"/>
    <col min="4" max="4" width="20.28515625" customWidth="1"/>
    <col min="5" max="5" width="19.5703125" bestFit="1" customWidth="1"/>
    <col min="15" max="15" width="16.5703125" bestFit="1" customWidth="1"/>
  </cols>
  <sheetData>
    <row r="1" spans="1:13" ht="21" x14ac:dyDescent="0.35">
      <c r="A1" s="5" t="s">
        <v>10</v>
      </c>
      <c r="D1" s="5" t="s">
        <v>17</v>
      </c>
    </row>
    <row r="3" spans="1:13" x14ac:dyDescent="0.25">
      <c r="A3" s="4" t="s">
        <v>24</v>
      </c>
      <c r="B3" s="22" t="s">
        <v>50</v>
      </c>
      <c r="C3" s="23"/>
      <c r="D3" s="23"/>
      <c r="K3" s="10"/>
    </row>
    <row r="4" spans="1:13" x14ac:dyDescent="0.25">
      <c r="A4" s="4" t="s">
        <v>22</v>
      </c>
      <c r="B4" s="12">
        <v>0.12</v>
      </c>
      <c r="C4" s="34">
        <f>B4/($B$4+$B$15+$B$26+$B$37+$B$48+$B$59+$B$70+$B$81+$B$92+$B$103+$B$114+$B$125)</f>
        <v>0.10104693040476874</v>
      </c>
      <c r="J4" s="4" t="s">
        <v>44</v>
      </c>
      <c r="K4" s="27">
        <f>0.12*1*0.31</f>
        <v>3.7199999999999997E-2</v>
      </c>
    </row>
    <row r="5" spans="1:13" x14ac:dyDescent="0.25">
      <c r="A5" s="4" t="s">
        <v>18</v>
      </c>
      <c r="D5" s="20" t="s">
        <v>19</v>
      </c>
      <c r="E5" s="21"/>
      <c r="F5" s="21"/>
      <c r="G5" s="21"/>
      <c r="H5" s="21"/>
    </row>
    <row r="6" spans="1:13" x14ac:dyDescent="0.25">
      <c r="C6" s="11"/>
      <c r="D6" s="11" t="s">
        <v>43</v>
      </c>
      <c r="E6" s="11" t="s">
        <v>20</v>
      </c>
      <c r="F6" s="11" t="s">
        <v>4</v>
      </c>
      <c r="G6" s="11" t="s">
        <v>5</v>
      </c>
      <c r="H6" s="11" t="s">
        <v>21</v>
      </c>
      <c r="K6" s="11" t="s">
        <v>4</v>
      </c>
      <c r="L6" s="11" t="s">
        <v>5</v>
      </c>
      <c r="M6" s="11" t="s">
        <v>21</v>
      </c>
    </row>
    <row r="7" spans="1:13" x14ac:dyDescent="0.25">
      <c r="B7" s="18" t="s">
        <v>8</v>
      </c>
      <c r="C7" s="11" t="s">
        <v>2</v>
      </c>
      <c r="D7" s="13">
        <v>1</v>
      </c>
      <c r="E7" s="13">
        <v>0</v>
      </c>
      <c r="F7" s="13">
        <v>0</v>
      </c>
      <c r="G7" s="13">
        <v>0</v>
      </c>
      <c r="H7" s="14">
        <f>1-SUM(D7:G7)</f>
        <v>0</v>
      </c>
      <c r="J7" s="11" t="s">
        <v>2</v>
      </c>
      <c r="K7" s="25">
        <v>1</v>
      </c>
      <c r="L7" s="25">
        <v>0</v>
      </c>
      <c r="M7" s="25">
        <f>100%-SUM(K7:L7)</f>
        <v>0</v>
      </c>
    </row>
    <row r="8" spans="1:13" x14ac:dyDescent="0.25">
      <c r="B8" s="19"/>
      <c r="C8" s="11" t="s">
        <v>43</v>
      </c>
      <c r="D8" s="15"/>
      <c r="E8" s="13">
        <v>0.13</v>
      </c>
      <c r="F8" s="13">
        <v>0</v>
      </c>
      <c r="G8" s="13">
        <v>0</v>
      </c>
      <c r="H8" s="14">
        <f t="shared" ref="H8:H11" si="0">1-SUM(D8:G8)</f>
        <v>0.87</v>
      </c>
      <c r="J8" s="11" t="s">
        <v>4</v>
      </c>
      <c r="K8" s="26"/>
      <c r="L8" s="25">
        <v>0</v>
      </c>
      <c r="M8" s="25">
        <f>100%-SUM(K8:L8)</f>
        <v>1</v>
      </c>
    </row>
    <row r="9" spans="1:13" x14ac:dyDescent="0.25">
      <c r="B9" s="19"/>
      <c r="C9" s="11" t="s">
        <v>20</v>
      </c>
      <c r="D9" s="15"/>
      <c r="E9" s="15"/>
      <c r="F9" s="13">
        <v>0</v>
      </c>
      <c r="G9" s="13">
        <v>0</v>
      </c>
      <c r="H9" s="14">
        <f t="shared" si="0"/>
        <v>1</v>
      </c>
      <c r="J9" s="28" t="s">
        <v>5</v>
      </c>
      <c r="K9" s="26"/>
      <c r="L9" s="26"/>
      <c r="M9" s="25">
        <f>100%-SUM(K9:L9)</f>
        <v>1</v>
      </c>
    </row>
    <row r="10" spans="1:13" x14ac:dyDescent="0.25">
      <c r="B10" s="19"/>
      <c r="C10" s="11" t="s">
        <v>4</v>
      </c>
      <c r="D10" s="15"/>
      <c r="E10" s="15"/>
      <c r="F10" s="15"/>
      <c r="G10" s="13">
        <v>0</v>
      </c>
      <c r="H10" s="14">
        <f t="shared" si="0"/>
        <v>1</v>
      </c>
    </row>
    <row r="11" spans="1:13" x14ac:dyDescent="0.25">
      <c r="B11" s="19"/>
      <c r="C11" s="11" t="s">
        <v>5</v>
      </c>
      <c r="D11" s="15"/>
      <c r="E11" s="15"/>
      <c r="F11" s="15"/>
      <c r="G11" s="15"/>
      <c r="H11" s="14">
        <f t="shared" si="0"/>
        <v>1</v>
      </c>
    </row>
    <row r="14" spans="1:13" x14ac:dyDescent="0.25">
      <c r="A14" s="4" t="s">
        <v>24</v>
      </c>
      <c r="B14" s="22" t="s">
        <v>30</v>
      </c>
      <c r="C14" s="23"/>
      <c r="D14" s="23"/>
    </row>
    <row r="15" spans="1:13" x14ac:dyDescent="0.25">
      <c r="A15" s="4" t="s">
        <v>22</v>
      </c>
      <c r="B15" s="12">
        <v>0.08</v>
      </c>
      <c r="C15" s="34">
        <f>B15/($B$4+$B$15+$B$26+$B$37+$B$48+$B$59+$B$70+$B$81+$B$92+$B$103+$B$114+$B$125)</f>
        <v>6.7364620269845826E-2</v>
      </c>
      <c r="J15" s="4" t="s">
        <v>44</v>
      </c>
      <c r="K15" s="27">
        <f>0.08*1*0.16+0.08*1*0.26*0.6</f>
        <v>2.5280000000000004E-2</v>
      </c>
    </row>
    <row r="16" spans="1:13" x14ac:dyDescent="0.25">
      <c r="A16" s="4" t="s">
        <v>18</v>
      </c>
      <c r="D16" s="20" t="s">
        <v>19</v>
      </c>
      <c r="E16" s="21"/>
      <c r="F16" s="21"/>
      <c r="G16" s="21"/>
      <c r="H16" s="21"/>
    </row>
    <row r="17" spans="1:13" x14ac:dyDescent="0.25">
      <c r="C17" s="11"/>
      <c r="D17" s="11" t="s">
        <v>43</v>
      </c>
      <c r="E17" s="11" t="s">
        <v>20</v>
      </c>
      <c r="F17" s="11" t="s">
        <v>4</v>
      </c>
      <c r="G17" s="11" t="s">
        <v>5</v>
      </c>
      <c r="H17" s="11" t="s">
        <v>21</v>
      </c>
      <c r="K17" s="11" t="s">
        <v>4</v>
      </c>
      <c r="L17" s="11" t="s">
        <v>5</v>
      </c>
      <c r="M17" s="11" t="s">
        <v>21</v>
      </c>
    </row>
    <row r="18" spans="1:13" x14ac:dyDescent="0.25">
      <c r="B18" s="18" t="s">
        <v>8</v>
      </c>
      <c r="C18" s="11" t="s">
        <v>2</v>
      </c>
      <c r="D18" s="13">
        <v>1</v>
      </c>
      <c r="E18" s="13">
        <v>0</v>
      </c>
      <c r="F18" s="13">
        <v>0</v>
      </c>
      <c r="G18" s="13">
        <v>0</v>
      </c>
      <c r="H18" s="14">
        <f>1-SUM(D18:G18)</f>
        <v>0</v>
      </c>
      <c r="J18" s="11" t="s">
        <v>2</v>
      </c>
      <c r="K18" s="25">
        <v>1</v>
      </c>
      <c r="L18" s="25">
        <v>0</v>
      </c>
      <c r="M18" s="25">
        <f>100%-SUM(K18:L18)</f>
        <v>0</v>
      </c>
    </row>
    <row r="19" spans="1:13" x14ac:dyDescent="0.25">
      <c r="B19" s="19"/>
      <c r="C19" s="11" t="s">
        <v>43</v>
      </c>
      <c r="D19" s="15"/>
      <c r="E19" s="13">
        <v>0.26</v>
      </c>
      <c r="F19" s="13">
        <v>0</v>
      </c>
      <c r="G19" s="13">
        <v>0.1</v>
      </c>
      <c r="H19" s="14">
        <f t="shared" ref="H19:H22" si="1">1-SUM(D19:G19)</f>
        <v>0.64</v>
      </c>
      <c r="J19" s="11" t="s">
        <v>4</v>
      </c>
      <c r="K19" s="26"/>
      <c r="L19" s="25">
        <v>0</v>
      </c>
      <c r="M19" s="25">
        <f>100%-SUM(K19:L19)</f>
        <v>1</v>
      </c>
    </row>
    <row r="20" spans="1:13" x14ac:dyDescent="0.25">
      <c r="B20" s="19"/>
      <c r="C20" s="11" t="s">
        <v>20</v>
      </c>
      <c r="D20" s="15"/>
      <c r="E20" s="15"/>
      <c r="F20" s="13">
        <v>0</v>
      </c>
      <c r="G20" s="13">
        <v>0</v>
      </c>
      <c r="H20" s="14">
        <f t="shared" si="1"/>
        <v>1</v>
      </c>
      <c r="J20" s="28" t="s">
        <v>5</v>
      </c>
      <c r="K20" s="26"/>
      <c r="L20" s="26"/>
      <c r="M20" s="25">
        <f>100%-SUM(K20:L20)</f>
        <v>1</v>
      </c>
    </row>
    <row r="21" spans="1:13" x14ac:dyDescent="0.25">
      <c r="B21" s="19"/>
      <c r="C21" s="11" t="s">
        <v>4</v>
      </c>
      <c r="D21" s="15"/>
      <c r="E21" s="15"/>
      <c r="F21" s="15"/>
      <c r="G21" s="13">
        <v>0</v>
      </c>
      <c r="H21" s="14">
        <f t="shared" si="1"/>
        <v>1</v>
      </c>
    </row>
    <row r="22" spans="1:13" x14ac:dyDescent="0.25">
      <c r="B22" s="19"/>
      <c r="C22" s="11" t="s">
        <v>5</v>
      </c>
      <c r="D22" s="15"/>
      <c r="E22" s="15"/>
      <c r="F22" s="15"/>
      <c r="G22" s="15"/>
      <c r="H22" s="14">
        <f t="shared" si="1"/>
        <v>1</v>
      </c>
    </row>
    <row r="25" spans="1:13" x14ac:dyDescent="0.25">
      <c r="A25" s="4" t="s">
        <v>24</v>
      </c>
      <c r="B25" s="22" t="s">
        <v>31</v>
      </c>
      <c r="C25" s="23"/>
      <c r="D25" s="23"/>
    </row>
    <row r="26" spans="1:13" x14ac:dyDescent="0.25">
      <c r="A26" s="4" t="s">
        <v>22</v>
      </c>
      <c r="B26" s="12">
        <v>7.0000000000000007E-2</v>
      </c>
      <c r="C26" s="34">
        <f>B26/($B$4+$B$15+$B$26+$B$37+$B$48+$B$59+$B$70+$B$81+$B$92+$B$103+$B$114+$B$125)</f>
        <v>5.8944042736115101E-2</v>
      </c>
      <c r="J26" s="4" t="s">
        <v>44</v>
      </c>
      <c r="K26" s="27">
        <f>0.07*1*0.12+0.07*1*0.37*0.33</f>
        <v>1.6947000000000004E-2</v>
      </c>
    </row>
    <row r="27" spans="1:13" x14ac:dyDescent="0.25">
      <c r="A27" s="4" t="s">
        <v>18</v>
      </c>
      <c r="D27" s="20" t="s">
        <v>19</v>
      </c>
      <c r="E27" s="21"/>
      <c r="F27" s="21"/>
      <c r="G27" s="21"/>
      <c r="H27" s="21"/>
    </row>
    <row r="28" spans="1:13" x14ac:dyDescent="0.25">
      <c r="C28" s="11"/>
      <c r="D28" s="11" t="s">
        <v>43</v>
      </c>
      <c r="E28" s="11" t="s">
        <v>20</v>
      </c>
      <c r="F28" s="11" t="s">
        <v>4</v>
      </c>
      <c r="G28" s="11" t="s">
        <v>5</v>
      </c>
      <c r="H28" s="11" t="s">
        <v>21</v>
      </c>
      <c r="K28" s="11" t="s">
        <v>4</v>
      </c>
      <c r="L28" s="11" t="s">
        <v>5</v>
      </c>
      <c r="M28" s="11" t="s">
        <v>21</v>
      </c>
    </row>
    <row r="29" spans="1:13" x14ac:dyDescent="0.25">
      <c r="B29" s="18" t="s">
        <v>8</v>
      </c>
      <c r="C29" s="11" t="s">
        <v>2</v>
      </c>
      <c r="D29" s="13">
        <v>1</v>
      </c>
      <c r="E29" s="13">
        <v>0</v>
      </c>
      <c r="F29" s="13">
        <v>0</v>
      </c>
      <c r="G29" s="13">
        <v>0</v>
      </c>
      <c r="H29" s="14">
        <f>1-SUM(D29:G29)</f>
        <v>0</v>
      </c>
      <c r="J29" s="11" t="s">
        <v>2</v>
      </c>
      <c r="K29" s="25">
        <v>1</v>
      </c>
      <c r="L29" s="25">
        <v>0</v>
      </c>
      <c r="M29" s="25">
        <f>100%-SUM(K29:L29)</f>
        <v>0</v>
      </c>
    </row>
    <row r="30" spans="1:13" x14ac:dyDescent="0.25">
      <c r="B30" s="19"/>
      <c r="C30" s="11" t="s">
        <v>43</v>
      </c>
      <c r="D30" s="15"/>
      <c r="E30" s="13">
        <v>0.37</v>
      </c>
      <c r="F30" s="13">
        <v>0</v>
      </c>
      <c r="G30" s="13">
        <v>0.06</v>
      </c>
      <c r="H30" s="14">
        <f t="shared" ref="H30:H33" si="2">1-SUM(D30:G30)</f>
        <v>0.57000000000000006</v>
      </c>
      <c r="J30" s="11" t="s">
        <v>4</v>
      </c>
      <c r="K30" s="26"/>
      <c r="L30" s="25">
        <v>0</v>
      </c>
      <c r="M30" s="25">
        <f>100%-SUM(K30:L30)</f>
        <v>1</v>
      </c>
    </row>
    <row r="31" spans="1:13" x14ac:dyDescent="0.25">
      <c r="B31" s="19"/>
      <c r="C31" s="11" t="s">
        <v>20</v>
      </c>
      <c r="D31" s="15"/>
      <c r="E31" s="15"/>
      <c r="F31" s="13">
        <v>0</v>
      </c>
      <c r="G31" s="13">
        <v>0</v>
      </c>
      <c r="H31" s="14">
        <f t="shared" si="2"/>
        <v>1</v>
      </c>
      <c r="J31" s="28" t="s">
        <v>5</v>
      </c>
      <c r="K31" s="26"/>
      <c r="L31" s="26"/>
      <c r="M31" s="25">
        <f>100%-SUM(K31:L31)</f>
        <v>1</v>
      </c>
    </row>
    <row r="32" spans="1:13" x14ac:dyDescent="0.25">
      <c r="B32" s="19"/>
      <c r="C32" s="11" t="s">
        <v>4</v>
      </c>
      <c r="D32" s="15"/>
      <c r="E32" s="15"/>
      <c r="F32" s="15"/>
      <c r="G32" s="13">
        <v>0</v>
      </c>
      <c r="H32" s="14">
        <f t="shared" si="2"/>
        <v>1</v>
      </c>
    </row>
    <row r="33" spans="1:13" x14ac:dyDescent="0.25">
      <c r="B33" s="19"/>
      <c r="C33" s="11" t="s">
        <v>5</v>
      </c>
      <c r="D33" s="15"/>
      <c r="E33" s="15"/>
      <c r="F33" s="15"/>
      <c r="G33" s="15"/>
      <c r="H33" s="14">
        <f t="shared" si="2"/>
        <v>1</v>
      </c>
    </row>
    <row r="36" spans="1:13" x14ac:dyDescent="0.25">
      <c r="A36" s="4" t="s">
        <v>24</v>
      </c>
      <c r="B36" s="22" t="s">
        <v>51</v>
      </c>
      <c r="C36" s="23"/>
      <c r="D36" s="23"/>
    </row>
    <row r="37" spans="1:13" x14ac:dyDescent="0.25">
      <c r="A37" s="4" t="s">
        <v>22</v>
      </c>
      <c r="B37" s="12">
        <v>0.04</v>
      </c>
      <c r="C37" s="34">
        <f>B37/($B$4+$B$15+$B$26+$B$37+$B$48+$B$59+$B$70+$B$81+$B$92+$B$103+$B$114+$B$125)</f>
        <v>3.3682310134922913E-2</v>
      </c>
      <c r="J37" s="4" t="s">
        <v>44</v>
      </c>
      <c r="K37" s="27">
        <f>0.04*1*0.4</f>
        <v>1.6E-2</v>
      </c>
    </row>
    <row r="38" spans="1:13" x14ac:dyDescent="0.25">
      <c r="A38" s="4" t="s">
        <v>18</v>
      </c>
      <c r="D38" s="20" t="s">
        <v>19</v>
      </c>
      <c r="E38" s="21"/>
      <c r="F38" s="21"/>
      <c r="G38" s="21"/>
      <c r="H38" s="21"/>
    </row>
    <row r="39" spans="1:13" x14ac:dyDescent="0.25">
      <c r="C39" s="11"/>
      <c r="D39" s="11" t="s">
        <v>43</v>
      </c>
      <c r="E39" s="11" t="s">
        <v>20</v>
      </c>
      <c r="F39" s="11" t="s">
        <v>4</v>
      </c>
      <c r="G39" s="11" t="s">
        <v>5</v>
      </c>
      <c r="H39" s="11" t="s">
        <v>21</v>
      </c>
      <c r="K39" s="11" t="s">
        <v>4</v>
      </c>
      <c r="L39" s="11" t="s">
        <v>5</v>
      </c>
      <c r="M39" s="11" t="s">
        <v>21</v>
      </c>
    </row>
    <row r="40" spans="1:13" x14ac:dyDescent="0.25">
      <c r="B40" s="18" t="s">
        <v>8</v>
      </c>
      <c r="C40" s="11" t="s">
        <v>2</v>
      </c>
      <c r="D40" s="13">
        <v>1</v>
      </c>
      <c r="E40" s="13">
        <v>0</v>
      </c>
      <c r="F40" s="13">
        <v>0</v>
      </c>
      <c r="G40" s="13">
        <v>0</v>
      </c>
      <c r="H40" s="14">
        <f>1-SUM(D40:G40)</f>
        <v>0</v>
      </c>
      <c r="J40" s="11" t="s">
        <v>2</v>
      </c>
      <c r="K40" s="25">
        <v>1</v>
      </c>
      <c r="L40" s="25">
        <v>0</v>
      </c>
      <c r="M40" s="25">
        <f>100%-SUM(K40:L40)</f>
        <v>0</v>
      </c>
    </row>
    <row r="41" spans="1:13" x14ac:dyDescent="0.25">
      <c r="B41" s="19"/>
      <c r="C41" s="11" t="s">
        <v>43</v>
      </c>
      <c r="D41" s="15"/>
      <c r="E41" s="13">
        <v>0.2</v>
      </c>
      <c r="F41" s="13">
        <v>0</v>
      </c>
      <c r="G41" s="13">
        <v>0.4</v>
      </c>
      <c r="H41" s="14">
        <f t="shared" ref="H41:H44" si="3">1-SUM(D41:G41)</f>
        <v>0.39999999999999991</v>
      </c>
      <c r="J41" s="11" t="s">
        <v>4</v>
      </c>
      <c r="K41" s="26"/>
      <c r="L41" s="25">
        <v>1</v>
      </c>
      <c r="M41" s="25">
        <f>100%-SUM(K41:L41)</f>
        <v>0</v>
      </c>
    </row>
    <row r="42" spans="1:13" x14ac:dyDescent="0.25">
      <c r="B42" s="19"/>
      <c r="C42" s="11" t="s">
        <v>20</v>
      </c>
      <c r="D42" s="15"/>
      <c r="E42" s="15"/>
      <c r="F42" s="13">
        <v>0</v>
      </c>
      <c r="G42" s="13">
        <v>1</v>
      </c>
      <c r="H42" s="14">
        <f t="shared" si="3"/>
        <v>0</v>
      </c>
      <c r="J42" s="28" t="s">
        <v>5</v>
      </c>
      <c r="K42" s="26"/>
      <c r="L42" s="26"/>
      <c r="M42" s="25">
        <f>100%-SUM(K42:L42)</f>
        <v>1</v>
      </c>
    </row>
    <row r="43" spans="1:13" x14ac:dyDescent="0.25">
      <c r="B43" s="19"/>
      <c r="C43" s="11" t="s">
        <v>4</v>
      </c>
      <c r="D43" s="15"/>
      <c r="E43" s="15"/>
      <c r="F43" s="15"/>
      <c r="G43" s="13">
        <v>0</v>
      </c>
      <c r="H43" s="14">
        <f t="shared" si="3"/>
        <v>1</v>
      </c>
      <c r="J43" s="10"/>
    </row>
    <row r="44" spans="1:13" x14ac:dyDescent="0.25">
      <c r="B44" s="19"/>
      <c r="C44" s="11" t="s">
        <v>5</v>
      </c>
      <c r="D44" s="15"/>
      <c r="E44" s="15"/>
      <c r="F44" s="15"/>
      <c r="G44" s="15"/>
      <c r="H44" s="14">
        <f t="shared" si="3"/>
        <v>1</v>
      </c>
    </row>
    <row r="47" spans="1:13" x14ac:dyDescent="0.25">
      <c r="A47" s="4" t="s">
        <v>24</v>
      </c>
      <c r="B47" s="22" t="s">
        <v>29</v>
      </c>
      <c r="C47" s="23"/>
      <c r="D47" s="23"/>
    </row>
    <row r="48" spans="1:13" x14ac:dyDescent="0.25">
      <c r="A48" s="4" t="s">
        <v>22</v>
      </c>
      <c r="B48" s="12">
        <v>0.22</v>
      </c>
      <c r="C48" s="34">
        <f>B48/($B$4+$B$15+$B$26+$B$37+$B$48+$B$59+$B$70+$B$81+$B$92+$B$103+$B$114+$B$125)</f>
        <v>0.18525270574207603</v>
      </c>
      <c r="J48" s="4" t="s">
        <v>44</v>
      </c>
      <c r="K48" s="27">
        <f>0.22*0.16*0.09</f>
        <v>3.1680000000000002E-3</v>
      </c>
    </row>
    <row r="49" spans="1:13" x14ac:dyDescent="0.25">
      <c r="A49" s="4" t="s">
        <v>18</v>
      </c>
      <c r="D49" s="20" t="s">
        <v>19</v>
      </c>
      <c r="E49" s="21"/>
      <c r="F49" s="21"/>
      <c r="G49" s="21"/>
      <c r="H49" s="21"/>
    </row>
    <row r="50" spans="1:13" x14ac:dyDescent="0.25">
      <c r="C50" s="11"/>
      <c r="D50" s="11" t="s">
        <v>43</v>
      </c>
      <c r="E50" s="11" t="s">
        <v>20</v>
      </c>
      <c r="F50" s="11" t="s">
        <v>4</v>
      </c>
      <c r="G50" s="11" t="s">
        <v>5</v>
      </c>
      <c r="H50" s="11" t="s">
        <v>21</v>
      </c>
      <c r="K50" s="11" t="s">
        <v>4</v>
      </c>
      <c r="L50" s="11" t="s">
        <v>5</v>
      </c>
      <c r="M50" s="11" t="s">
        <v>21</v>
      </c>
    </row>
    <row r="51" spans="1:13" x14ac:dyDescent="0.25">
      <c r="B51" s="18" t="s">
        <v>8</v>
      </c>
      <c r="C51" s="11" t="s">
        <v>2</v>
      </c>
      <c r="D51" s="13">
        <v>0</v>
      </c>
      <c r="E51" s="13">
        <v>0.16</v>
      </c>
      <c r="F51" s="13">
        <v>0.37</v>
      </c>
      <c r="G51" s="13">
        <v>0.47</v>
      </c>
      <c r="H51" s="14">
        <f>1-SUM(D51:G51)</f>
        <v>0</v>
      </c>
      <c r="J51" s="11" t="s">
        <v>2</v>
      </c>
      <c r="K51" s="25">
        <v>1</v>
      </c>
      <c r="L51" s="25">
        <v>0</v>
      </c>
      <c r="M51" s="25">
        <f>100%-SUM(K51:L51)</f>
        <v>0</v>
      </c>
    </row>
    <row r="52" spans="1:13" x14ac:dyDescent="0.25">
      <c r="B52" s="19"/>
      <c r="C52" s="11" t="s">
        <v>43</v>
      </c>
      <c r="D52" s="15"/>
      <c r="E52" s="13">
        <v>0.22</v>
      </c>
      <c r="F52" s="13">
        <v>0</v>
      </c>
      <c r="G52" s="13">
        <v>0</v>
      </c>
      <c r="H52" s="14">
        <f t="shared" ref="H52:H55" si="4">1-SUM(D52:G52)</f>
        <v>0.78</v>
      </c>
      <c r="J52" s="11" t="s">
        <v>4</v>
      </c>
      <c r="K52" s="26"/>
      <c r="L52" s="25">
        <v>0.03</v>
      </c>
      <c r="M52" s="25">
        <f>100%-SUM(K52:L52)</f>
        <v>0.97</v>
      </c>
    </row>
    <row r="53" spans="1:13" x14ac:dyDescent="0.25">
      <c r="B53" s="19"/>
      <c r="C53" s="11" t="s">
        <v>20</v>
      </c>
      <c r="D53" s="15"/>
      <c r="E53" s="15"/>
      <c r="F53" s="13">
        <v>0</v>
      </c>
      <c r="G53" s="13">
        <v>0</v>
      </c>
      <c r="H53" s="14">
        <f t="shared" si="4"/>
        <v>1</v>
      </c>
      <c r="J53" s="28" t="s">
        <v>5</v>
      </c>
      <c r="K53" s="26"/>
      <c r="L53" s="26"/>
      <c r="M53" s="25">
        <f>100%-SUM(K53:L53)</f>
        <v>1</v>
      </c>
    </row>
    <row r="54" spans="1:13" x14ac:dyDescent="0.25">
      <c r="B54" s="19"/>
      <c r="C54" s="11" t="s">
        <v>4</v>
      </c>
      <c r="D54" s="15"/>
      <c r="E54" s="15"/>
      <c r="F54" s="15"/>
      <c r="G54" s="13">
        <v>0</v>
      </c>
      <c r="H54" s="14">
        <f t="shared" si="4"/>
        <v>1</v>
      </c>
    </row>
    <row r="55" spans="1:13" x14ac:dyDescent="0.25">
      <c r="B55" s="19"/>
      <c r="C55" s="11" t="s">
        <v>5</v>
      </c>
      <c r="D55" s="15"/>
      <c r="E55" s="15"/>
      <c r="F55" s="15"/>
      <c r="G55" s="15"/>
      <c r="H55" s="14">
        <f t="shared" si="4"/>
        <v>1</v>
      </c>
    </row>
    <row r="58" spans="1:13" x14ac:dyDescent="0.25">
      <c r="A58" s="4" t="s">
        <v>24</v>
      </c>
      <c r="B58" s="22" t="s">
        <v>52</v>
      </c>
      <c r="C58" s="23"/>
      <c r="D58" s="23"/>
    </row>
    <row r="59" spans="1:13" x14ac:dyDescent="0.25">
      <c r="A59" s="4" t="s">
        <v>22</v>
      </c>
      <c r="B59" s="12">
        <v>0.22</v>
      </c>
      <c r="C59" s="34">
        <f>B59/($B$4+$B$15+$B$26+$B$37+$B$48+$B$59+$B$70+$B$81+$B$92+$B$103+$B$114+$B$125)</f>
        <v>0.18525270574207603</v>
      </c>
      <c r="J59" s="4" t="s">
        <v>44</v>
      </c>
      <c r="K59" s="27">
        <f>0.22*1*0.2+0.22*1*0.22*0.08</f>
        <v>4.7872000000000005E-2</v>
      </c>
    </row>
    <row r="60" spans="1:13" x14ac:dyDescent="0.25">
      <c r="A60" s="4" t="s">
        <v>18</v>
      </c>
      <c r="D60" s="20" t="s">
        <v>19</v>
      </c>
      <c r="E60" s="21"/>
      <c r="F60" s="21"/>
      <c r="G60" s="21"/>
      <c r="H60" s="21"/>
    </row>
    <row r="61" spans="1:13" x14ac:dyDescent="0.25">
      <c r="C61" s="11"/>
      <c r="D61" s="11" t="s">
        <v>43</v>
      </c>
      <c r="E61" s="11" t="s">
        <v>20</v>
      </c>
      <c r="F61" s="11" t="s">
        <v>4</v>
      </c>
      <c r="G61" s="11" t="s">
        <v>5</v>
      </c>
      <c r="H61" s="11" t="s">
        <v>21</v>
      </c>
      <c r="K61" s="11" t="s">
        <v>4</v>
      </c>
      <c r="L61" s="11" t="s">
        <v>5</v>
      </c>
      <c r="M61" s="11" t="s">
        <v>21</v>
      </c>
    </row>
    <row r="62" spans="1:13" x14ac:dyDescent="0.25">
      <c r="B62" s="18" t="s">
        <v>8</v>
      </c>
      <c r="C62" s="11" t="s">
        <v>2</v>
      </c>
      <c r="D62" s="13">
        <v>1</v>
      </c>
      <c r="E62" s="13">
        <v>0</v>
      </c>
      <c r="F62" s="13">
        <v>0</v>
      </c>
      <c r="G62" s="13">
        <v>0</v>
      </c>
      <c r="H62" s="14">
        <f>1-SUM(D62:G62)</f>
        <v>0</v>
      </c>
      <c r="J62" s="11" t="s">
        <v>2</v>
      </c>
      <c r="K62" s="25">
        <v>1</v>
      </c>
      <c r="L62" s="25">
        <v>0</v>
      </c>
      <c r="M62" s="25">
        <f>100%-SUM(K62:L62)</f>
        <v>0</v>
      </c>
    </row>
    <row r="63" spans="1:13" x14ac:dyDescent="0.25">
      <c r="B63" s="19"/>
      <c r="C63" s="11" t="s">
        <v>43</v>
      </c>
      <c r="D63" s="15"/>
      <c r="E63" s="13">
        <v>0.22</v>
      </c>
      <c r="F63" s="13">
        <v>0</v>
      </c>
      <c r="G63" s="13">
        <v>0.06</v>
      </c>
      <c r="H63" s="14">
        <f t="shared" ref="H63:H66" si="5">1-SUM(D63:G63)</f>
        <v>0.72</v>
      </c>
      <c r="J63" s="11" t="s">
        <v>4</v>
      </c>
      <c r="K63" s="26"/>
      <c r="L63" s="25">
        <v>0</v>
      </c>
      <c r="M63" s="25">
        <f>100%-SUM(K63:L63)</f>
        <v>1</v>
      </c>
    </row>
    <row r="64" spans="1:13" x14ac:dyDescent="0.25">
      <c r="B64" s="19"/>
      <c r="C64" s="11" t="s">
        <v>20</v>
      </c>
      <c r="D64" s="15"/>
      <c r="E64" s="15"/>
      <c r="F64" s="13">
        <v>0</v>
      </c>
      <c r="G64" s="13">
        <v>0</v>
      </c>
      <c r="H64" s="14">
        <f t="shared" si="5"/>
        <v>1</v>
      </c>
      <c r="J64" s="28" t="s">
        <v>5</v>
      </c>
      <c r="K64" s="26"/>
      <c r="L64" s="26"/>
      <c r="M64" s="25">
        <f>100%-SUM(K64:L64)</f>
        <v>1</v>
      </c>
    </row>
    <row r="65" spans="1:8" x14ac:dyDescent="0.25">
      <c r="B65" s="19"/>
      <c r="C65" s="11" t="s">
        <v>4</v>
      </c>
      <c r="D65" s="15"/>
      <c r="E65" s="15"/>
      <c r="F65" s="15"/>
      <c r="G65" s="13">
        <v>0</v>
      </c>
      <c r="H65" s="14">
        <f t="shared" si="5"/>
        <v>1</v>
      </c>
    </row>
    <row r="66" spans="1:8" x14ac:dyDescent="0.25">
      <c r="B66" s="19"/>
      <c r="C66" s="11" t="s">
        <v>5</v>
      </c>
      <c r="D66" s="15"/>
      <c r="E66" s="15"/>
      <c r="F66" s="15"/>
      <c r="G66" s="15"/>
      <c r="H66" s="14">
        <f t="shared" si="5"/>
        <v>1</v>
      </c>
    </row>
    <row r="69" spans="1:8" x14ac:dyDescent="0.25">
      <c r="A69" s="4" t="s">
        <v>24</v>
      </c>
      <c r="B69" s="22" t="s">
        <v>30</v>
      </c>
      <c r="C69" s="23"/>
      <c r="D69" s="23"/>
    </row>
    <row r="70" spans="1:8" x14ac:dyDescent="0.25">
      <c r="A70" s="4" t="s">
        <v>22</v>
      </c>
      <c r="B70" s="12">
        <v>0.03</v>
      </c>
      <c r="C70" s="34">
        <f>B70/($B$4+$B$15+$B$26+$B$37+$B$48+$B$59+$B$70+$B$81+$B$92+$B$103+$B$114+$B$125)</f>
        <v>2.5261732601192185E-2</v>
      </c>
    </row>
    <row r="71" spans="1:8" x14ac:dyDescent="0.25">
      <c r="A71" s="4" t="s">
        <v>18</v>
      </c>
      <c r="D71" s="20" t="s">
        <v>19</v>
      </c>
      <c r="E71" s="21"/>
      <c r="F71" s="21"/>
      <c r="G71" s="21"/>
      <c r="H71" s="21"/>
    </row>
    <row r="72" spans="1:8" x14ac:dyDescent="0.25">
      <c r="C72" s="11"/>
      <c r="D72" s="11" t="s">
        <v>43</v>
      </c>
      <c r="E72" s="11" t="s">
        <v>20</v>
      </c>
      <c r="F72" s="11" t="s">
        <v>4</v>
      </c>
      <c r="G72" s="11" t="s">
        <v>5</v>
      </c>
      <c r="H72" s="11" t="s">
        <v>21</v>
      </c>
    </row>
    <row r="73" spans="1:8" x14ac:dyDescent="0.25">
      <c r="B73" s="18" t="s">
        <v>8</v>
      </c>
      <c r="C73" s="11" t="s">
        <v>2</v>
      </c>
      <c r="D73" s="13">
        <v>1</v>
      </c>
      <c r="E73" s="13">
        <v>0</v>
      </c>
      <c r="F73" s="13">
        <v>0</v>
      </c>
      <c r="G73" s="13">
        <v>0</v>
      </c>
      <c r="H73" s="14">
        <f>1-SUM(D73:G73)</f>
        <v>0</v>
      </c>
    </row>
    <row r="74" spans="1:8" x14ac:dyDescent="0.25">
      <c r="B74" s="19"/>
      <c r="C74" s="11" t="s">
        <v>43</v>
      </c>
      <c r="D74" s="15"/>
      <c r="E74" s="13">
        <v>0.17</v>
      </c>
      <c r="F74" s="13">
        <v>0</v>
      </c>
      <c r="G74" s="13">
        <v>0.33</v>
      </c>
      <c r="H74" s="14">
        <f t="shared" ref="H74:H77" si="6">1-SUM(D74:G74)</f>
        <v>0.5</v>
      </c>
    </row>
    <row r="75" spans="1:8" x14ac:dyDescent="0.25">
      <c r="B75" s="19"/>
      <c r="C75" s="11" t="s">
        <v>20</v>
      </c>
      <c r="D75" s="15"/>
      <c r="E75" s="15"/>
      <c r="F75" s="13">
        <v>0</v>
      </c>
      <c r="G75" s="13">
        <v>0.4</v>
      </c>
      <c r="H75" s="14">
        <f t="shared" si="6"/>
        <v>0.6</v>
      </c>
    </row>
    <row r="76" spans="1:8" x14ac:dyDescent="0.25">
      <c r="B76" s="19"/>
      <c r="C76" s="11" t="s">
        <v>4</v>
      </c>
      <c r="D76" s="15"/>
      <c r="E76" s="15"/>
      <c r="F76" s="15"/>
      <c r="G76" s="13">
        <v>0</v>
      </c>
      <c r="H76" s="14">
        <f t="shared" si="6"/>
        <v>1</v>
      </c>
    </row>
    <row r="77" spans="1:8" x14ac:dyDescent="0.25">
      <c r="B77" s="19"/>
      <c r="C77" s="11" t="s">
        <v>5</v>
      </c>
      <c r="D77" s="15"/>
      <c r="E77" s="15"/>
      <c r="F77" s="15"/>
      <c r="G77" s="15"/>
      <c r="H77" s="14">
        <f t="shared" si="6"/>
        <v>1</v>
      </c>
    </row>
    <row r="80" spans="1:8" x14ac:dyDescent="0.25">
      <c r="A80" s="4" t="s">
        <v>24</v>
      </c>
      <c r="B80" s="22" t="s">
        <v>53</v>
      </c>
      <c r="C80" s="23"/>
      <c r="D80" s="23"/>
    </row>
    <row r="81" spans="1:13" x14ac:dyDescent="0.25">
      <c r="A81" s="4" t="s">
        <v>22</v>
      </c>
      <c r="B81" s="12">
        <v>0.04</v>
      </c>
      <c r="C81" s="34">
        <f>B81/($B$4+$B$15+$B$26+$B$37+$B$48+$B$59+$B$70+$B$81+$B$92+$B$103+$B$114+$B$125)</f>
        <v>3.3682310134922913E-2</v>
      </c>
      <c r="J81" s="4" t="s">
        <v>44</v>
      </c>
      <c r="K81" s="27">
        <f>0.04*0.82*1*0.27+0.04*0.18*0.27</f>
        <v>1.0799999999999999E-2</v>
      </c>
    </row>
    <row r="82" spans="1:13" x14ac:dyDescent="0.25">
      <c r="A82" s="4" t="s">
        <v>18</v>
      </c>
      <c r="D82" s="20" t="s">
        <v>19</v>
      </c>
      <c r="E82" s="21"/>
      <c r="F82" s="21"/>
      <c r="G82" s="21"/>
      <c r="H82" s="21"/>
    </row>
    <row r="83" spans="1:13" x14ac:dyDescent="0.25">
      <c r="C83" s="11"/>
      <c r="D83" s="11" t="s">
        <v>43</v>
      </c>
      <c r="E83" s="11" t="s">
        <v>20</v>
      </c>
      <c r="F83" s="11" t="s">
        <v>4</v>
      </c>
      <c r="G83" s="11" t="s">
        <v>5</v>
      </c>
      <c r="H83" s="11" t="s">
        <v>21</v>
      </c>
      <c r="K83" s="11" t="s">
        <v>4</v>
      </c>
      <c r="L83" s="11" t="s">
        <v>5</v>
      </c>
      <c r="M83" s="11" t="s">
        <v>21</v>
      </c>
    </row>
    <row r="84" spans="1:13" x14ac:dyDescent="0.25">
      <c r="B84" s="18" t="s">
        <v>8</v>
      </c>
      <c r="C84" s="11" t="s">
        <v>2</v>
      </c>
      <c r="D84" s="13">
        <v>0.82</v>
      </c>
      <c r="E84" s="13">
        <v>0.18</v>
      </c>
      <c r="F84" s="13">
        <v>0</v>
      </c>
      <c r="G84" s="13">
        <v>0</v>
      </c>
      <c r="H84" s="14">
        <f>1-SUM(D84:G84)</f>
        <v>0</v>
      </c>
      <c r="J84" s="11" t="s">
        <v>2</v>
      </c>
      <c r="K84" s="25">
        <v>1</v>
      </c>
      <c r="L84" s="25">
        <v>0</v>
      </c>
      <c r="M84" s="25">
        <f>100%-SUM(K84:L84)</f>
        <v>0</v>
      </c>
    </row>
    <row r="85" spans="1:13" x14ac:dyDescent="0.25">
      <c r="B85" s="19"/>
      <c r="C85" s="11" t="s">
        <v>43</v>
      </c>
      <c r="D85" s="15"/>
      <c r="E85" s="13">
        <v>1</v>
      </c>
      <c r="F85" s="13">
        <v>0</v>
      </c>
      <c r="G85" s="13">
        <v>0</v>
      </c>
      <c r="H85" s="14">
        <f t="shared" ref="H85:H88" si="7">1-SUM(D85:G85)</f>
        <v>0</v>
      </c>
      <c r="J85" s="11" t="s">
        <v>4</v>
      </c>
      <c r="K85" s="26"/>
      <c r="L85" s="25">
        <v>0</v>
      </c>
      <c r="M85" s="25">
        <f>100%-SUM(K85:L85)</f>
        <v>1</v>
      </c>
    </row>
    <row r="86" spans="1:13" x14ac:dyDescent="0.25">
      <c r="B86" s="19"/>
      <c r="C86" s="11" t="s">
        <v>20</v>
      </c>
      <c r="D86" s="15"/>
      <c r="E86" s="15"/>
      <c r="F86" s="13">
        <v>0</v>
      </c>
      <c r="G86" s="13">
        <v>0</v>
      </c>
      <c r="H86" s="14">
        <f t="shared" si="7"/>
        <v>1</v>
      </c>
      <c r="J86" s="28" t="s">
        <v>5</v>
      </c>
      <c r="K86" s="26"/>
      <c r="L86" s="26"/>
      <c r="M86" s="25">
        <f>100%-SUM(K86:L86)</f>
        <v>1</v>
      </c>
    </row>
    <row r="87" spans="1:13" x14ac:dyDescent="0.25">
      <c r="B87" s="19"/>
      <c r="C87" s="11" t="s">
        <v>4</v>
      </c>
      <c r="D87" s="15"/>
      <c r="E87" s="15"/>
      <c r="F87" s="15"/>
      <c r="G87" s="13">
        <v>0</v>
      </c>
      <c r="H87" s="14">
        <f t="shared" si="7"/>
        <v>1</v>
      </c>
    </row>
    <row r="88" spans="1:13" x14ac:dyDescent="0.25">
      <c r="B88" s="19"/>
      <c r="C88" s="11" t="s">
        <v>5</v>
      </c>
      <c r="D88" s="15"/>
      <c r="E88" s="15"/>
      <c r="F88" s="15"/>
      <c r="G88" s="15"/>
      <c r="H88" s="14">
        <f t="shared" si="7"/>
        <v>1</v>
      </c>
    </row>
    <row r="91" spans="1:13" x14ac:dyDescent="0.25">
      <c r="A91" s="4" t="s">
        <v>24</v>
      </c>
      <c r="B91" s="22" t="s">
        <v>31</v>
      </c>
      <c r="C91" s="23"/>
      <c r="D91" s="23"/>
    </row>
    <row r="92" spans="1:13" x14ac:dyDescent="0.25">
      <c r="A92" s="4" t="s">
        <v>22</v>
      </c>
      <c r="B92" s="12">
        <v>0.01</v>
      </c>
      <c r="C92" s="34">
        <f>B92/($B$4+$B$15+$B$26+$B$37+$B$48+$B$59+$B$70+$B$81+$B$92+$B$103+$B$114+$B$125)</f>
        <v>8.4205775337307283E-3</v>
      </c>
    </row>
    <row r="93" spans="1:13" x14ac:dyDescent="0.25">
      <c r="A93" s="4" t="s">
        <v>18</v>
      </c>
      <c r="D93" s="20" t="s">
        <v>19</v>
      </c>
      <c r="E93" s="21"/>
      <c r="F93" s="21"/>
      <c r="G93" s="21"/>
      <c r="H93" s="21"/>
    </row>
    <row r="94" spans="1:13" x14ac:dyDescent="0.25">
      <c r="C94" s="11"/>
      <c r="D94" s="11" t="s">
        <v>43</v>
      </c>
      <c r="E94" s="11" t="s">
        <v>20</v>
      </c>
      <c r="F94" s="11" t="s">
        <v>4</v>
      </c>
      <c r="G94" s="11" t="s">
        <v>5</v>
      </c>
      <c r="H94" s="11" t="s">
        <v>21</v>
      </c>
    </row>
    <row r="95" spans="1:13" x14ac:dyDescent="0.25">
      <c r="B95" s="18" t="s">
        <v>8</v>
      </c>
      <c r="C95" s="11" t="s">
        <v>2</v>
      </c>
      <c r="D95" s="13">
        <v>1</v>
      </c>
      <c r="E95" s="13">
        <v>0</v>
      </c>
      <c r="F95" s="13">
        <v>0</v>
      </c>
      <c r="G95" s="13">
        <v>0</v>
      </c>
      <c r="H95" s="14">
        <f>1-SUM(D95:G95)</f>
        <v>0</v>
      </c>
    </row>
    <row r="96" spans="1:13" x14ac:dyDescent="0.25">
      <c r="B96" s="19"/>
      <c r="C96" s="11" t="s">
        <v>43</v>
      </c>
      <c r="D96" s="15"/>
      <c r="E96" s="13">
        <v>1</v>
      </c>
      <c r="F96" s="13">
        <v>0</v>
      </c>
      <c r="G96" s="13">
        <v>0</v>
      </c>
      <c r="H96" s="14">
        <f t="shared" ref="H96:H99" si="8">1-SUM(D96:G96)</f>
        <v>0</v>
      </c>
    </row>
    <row r="97" spans="1:13" x14ac:dyDescent="0.25">
      <c r="B97" s="19"/>
      <c r="C97" s="11" t="s">
        <v>20</v>
      </c>
      <c r="D97" s="15"/>
      <c r="E97" s="15"/>
      <c r="F97" s="13">
        <v>0</v>
      </c>
      <c r="G97" s="13">
        <v>0.5</v>
      </c>
      <c r="H97" s="14">
        <f t="shared" si="8"/>
        <v>0.5</v>
      </c>
    </row>
    <row r="98" spans="1:13" x14ac:dyDescent="0.25">
      <c r="B98" s="19"/>
      <c r="C98" s="11" t="s">
        <v>4</v>
      </c>
      <c r="D98" s="15"/>
      <c r="E98" s="15"/>
      <c r="F98" s="15"/>
      <c r="G98" s="13">
        <v>0</v>
      </c>
      <c r="H98" s="14">
        <f t="shared" si="8"/>
        <v>1</v>
      </c>
    </row>
    <row r="99" spans="1:13" x14ac:dyDescent="0.25">
      <c r="B99" s="19"/>
      <c r="C99" s="11" t="s">
        <v>5</v>
      </c>
      <c r="D99" s="15"/>
      <c r="E99" s="15"/>
      <c r="F99" s="15"/>
      <c r="G99" s="15"/>
      <c r="H99" s="14">
        <f t="shared" si="8"/>
        <v>1</v>
      </c>
    </row>
    <row r="102" spans="1:13" x14ac:dyDescent="0.25">
      <c r="A102" s="4" t="s">
        <v>24</v>
      </c>
      <c r="B102" s="22" t="s">
        <v>54</v>
      </c>
      <c r="C102" s="23"/>
      <c r="D102" s="23"/>
    </row>
    <row r="103" spans="1:13" x14ac:dyDescent="0.25">
      <c r="A103" s="4" t="s">
        <v>22</v>
      </c>
      <c r="B103" s="12">
        <v>0.12</v>
      </c>
      <c r="C103" s="34">
        <f>B103/($B$4+$B$15+$B$26+$B$37+$B$48+$B$59+$B$70+$B$81+$B$92+$B$103+$B$114+$B$125)</f>
        <v>0.10104693040476874</v>
      </c>
      <c r="J103" s="4" t="s">
        <v>44</v>
      </c>
      <c r="K103" s="27">
        <f>0.12*1*0.13+0.12*0.15*0.4</f>
        <v>2.2800000000000001E-2</v>
      </c>
    </row>
    <row r="104" spans="1:13" x14ac:dyDescent="0.25">
      <c r="A104" s="4" t="s">
        <v>18</v>
      </c>
      <c r="D104" s="20" t="s">
        <v>19</v>
      </c>
      <c r="E104" s="21"/>
      <c r="F104" s="21"/>
      <c r="G104" s="21"/>
      <c r="H104" s="21"/>
    </row>
    <row r="105" spans="1:13" x14ac:dyDescent="0.25">
      <c r="C105" s="11"/>
      <c r="D105" s="11" t="s">
        <v>43</v>
      </c>
      <c r="E105" s="11" t="s">
        <v>20</v>
      </c>
      <c r="F105" s="11" t="s">
        <v>4</v>
      </c>
      <c r="G105" s="11" t="s">
        <v>5</v>
      </c>
      <c r="H105" s="11" t="s">
        <v>21</v>
      </c>
      <c r="K105" s="11" t="s">
        <v>4</v>
      </c>
      <c r="L105" s="11" t="s">
        <v>5</v>
      </c>
      <c r="M105" s="11" t="s">
        <v>21</v>
      </c>
    </row>
    <row r="106" spans="1:13" x14ac:dyDescent="0.25">
      <c r="B106" s="18" t="s">
        <v>8</v>
      </c>
      <c r="C106" s="11" t="s">
        <v>2</v>
      </c>
      <c r="D106" s="13">
        <v>1</v>
      </c>
      <c r="E106" s="13">
        <v>0</v>
      </c>
      <c r="F106" s="13">
        <v>0</v>
      </c>
      <c r="G106" s="13">
        <v>0</v>
      </c>
      <c r="H106" s="14">
        <f>1-SUM(D106:G106)</f>
        <v>0</v>
      </c>
      <c r="J106" s="11" t="s">
        <v>2</v>
      </c>
      <c r="K106" s="25">
        <v>1</v>
      </c>
      <c r="L106" s="25">
        <v>0</v>
      </c>
      <c r="M106" s="25">
        <f>100%-SUM(K106:L106)</f>
        <v>0</v>
      </c>
    </row>
    <row r="107" spans="1:13" x14ac:dyDescent="0.25">
      <c r="B107" s="19"/>
      <c r="C107" s="11" t="s">
        <v>43</v>
      </c>
      <c r="D107" s="15"/>
      <c r="E107" s="13">
        <v>0.15</v>
      </c>
      <c r="F107" s="13">
        <v>0</v>
      </c>
      <c r="G107" s="13">
        <v>0</v>
      </c>
      <c r="H107" s="14">
        <f t="shared" ref="H107:H110" si="9">1-SUM(D107:G107)</f>
        <v>0.85</v>
      </c>
      <c r="J107" s="11" t="s">
        <v>4</v>
      </c>
      <c r="K107" s="26"/>
      <c r="L107" s="25">
        <v>0</v>
      </c>
      <c r="M107" s="25">
        <f>100%-SUM(K107:L107)</f>
        <v>1</v>
      </c>
    </row>
    <row r="108" spans="1:13" x14ac:dyDescent="0.25">
      <c r="B108" s="19"/>
      <c r="C108" s="11" t="s">
        <v>20</v>
      </c>
      <c r="D108" s="15"/>
      <c r="E108" s="15"/>
      <c r="F108" s="13">
        <v>0</v>
      </c>
      <c r="G108" s="13">
        <v>0</v>
      </c>
      <c r="H108" s="14">
        <f t="shared" si="9"/>
        <v>1</v>
      </c>
      <c r="J108" s="28" t="s">
        <v>5</v>
      </c>
      <c r="K108" s="26"/>
      <c r="L108" s="26"/>
      <c r="M108" s="25">
        <f>100%-SUM(K108:L108)</f>
        <v>1</v>
      </c>
    </row>
    <row r="109" spans="1:13" x14ac:dyDescent="0.25">
      <c r="B109" s="19"/>
      <c r="C109" s="11" t="s">
        <v>4</v>
      </c>
      <c r="D109" s="15"/>
      <c r="E109" s="15"/>
      <c r="F109" s="15"/>
      <c r="G109" s="13">
        <v>0</v>
      </c>
      <c r="H109" s="14">
        <f t="shared" si="9"/>
        <v>1</v>
      </c>
    </row>
    <row r="110" spans="1:13" x14ac:dyDescent="0.25">
      <c r="B110" s="19"/>
      <c r="C110" s="11" t="s">
        <v>5</v>
      </c>
      <c r="D110" s="15"/>
      <c r="E110" s="15"/>
      <c r="F110" s="15"/>
      <c r="G110" s="15"/>
      <c r="H110" s="14">
        <f t="shared" si="9"/>
        <v>1</v>
      </c>
    </row>
    <row r="113" spans="1:13" x14ac:dyDescent="0.25">
      <c r="A113" s="4" t="s">
        <v>24</v>
      </c>
      <c r="B113" s="22" t="s">
        <v>34</v>
      </c>
      <c r="C113" s="23"/>
      <c r="D113" s="23"/>
    </row>
    <row r="114" spans="1:13" x14ac:dyDescent="0.25">
      <c r="A114" s="4" t="s">
        <v>22</v>
      </c>
      <c r="B114" s="12">
        <v>0.05</v>
      </c>
      <c r="C114" s="34">
        <f>B114/($B$4+$B$15+$B$26+$B$37+$B$48+$B$59+$B$70+$B$81+$B$92+$B$103+$B$114+$B$125)</f>
        <v>4.2102887668653645E-2</v>
      </c>
      <c r="J114" s="4" t="s">
        <v>44</v>
      </c>
      <c r="K114" s="27">
        <f>0.05*0.15*1</f>
        <v>7.4999999999999997E-3</v>
      </c>
    </row>
    <row r="115" spans="1:13" x14ac:dyDescent="0.25">
      <c r="A115" s="4" t="s">
        <v>18</v>
      </c>
      <c r="D115" s="20" t="s">
        <v>19</v>
      </c>
      <c r="E115" s="21"/>
      <c r="F115" s="21"/>
      <c r="G115" s="21"/>
      <c r="H115" s="21"/>
    </row>
    <row r="116" spans="1:13" x14ac:dyDescent="0.25">
      <c r="C116" s="11"/>
      <c r="D116" s="11" t="s">
        <v>43</v>
      </c>
      <c r="E116" s="11" t="s">
        <v>20</v>
      </c>
      <c r="F116" s="11" t="s">
        <v>4</v>
      </c>
      <c r="G116" s="11" t="s">
        <v>5</v>
      </c>
      <c r="H116" s="11" t="s">
        <v>21</v>
      </c>
      <c r="K116" s="11" t="s">
        <v>4</v>
      </c>
      <c r="L116" s="11" t="s">
        <v>5</v>
      </c>
      <c r="M116" s="11" t="s">
        <v>21</v>
      </c>
    </row>
    <row r="117" spans="1:13" x14ac:dyDescent="0.25">
      <c r="B117" s="18" t="s">
        <v>8</v>
      </c>
      <c r="C117" s="11" t="s">
        <v>2</v>
      </c>
      <c r="D117" s="13">
        <v>0.15</v>
      </c>
      <c r="E117" s="13">
        <v>0</v>
      </c>
      <c r="F117" s="13">
        <v>0.85</v>
      </c>
      <c r="G117" s="13">
        <v>0</v>
      </c>
      <c r="H117" s="14">
        <f>1-SUM(D117:G117)</f>
        <v>0</v>
      </c>
      <c r="J117" s="11" t="s">
        <v>2</v>
      </c>
      <c r="K117" s="25">
        <v>1</v>
      </c>
      <c r="L117" s="25">
        <v>0</v>
      </c>
      <c r="M117" s="25">
        <f>100%-SUM(K117:L117)</f>
        <v>0</v>
      </c>
    </row>
    <row r="118" spans="1:13" x14ac:dyDescent="0.25">
      <c r="B118" s="19"/>
      <c r="C118" s="11" t="s">
        <v>43</v>
      </c>
      <c r="D118" s="15"/>
      <c r="E118" s="13">
        <v>0</v>
      </c>
      <c r="F118" s="13">
        <v>0</v>
      </c>
      <c r="G118" s="13">
        <v>0</v>
      </c>
      <c r="H118" s="14">
        <f t="shared" ref="H118:H121" si="10">1-SUM(D118:G118)</f>
        <v>1</v>
      </c>
      <c r="J118" s="11" t="s">
        <v>4</v>
      </c>
      <c r="K118" s="26"/>
      <c r="L118" s="25">
        <v>0.23</v>
      </c>
      <c r="M118" s="25">
        <f>100%-SUM(K118:L118)</f>
        <v>0.77</v>
      </c>
    </row>
    <row r="119" spans="1:13" x14ac:dyDescent="0.25">
      <c r="B119" s="19"/>
      <c r="C119" s="11" t="s">
        <v>20</v>
      </c>
      <c r="D119" s="15"/>
      <c r="E119" s="15"/>
      <c r="F119" s="13">
        <v>0</v>
      </c>
      <c r="G119" s="13">
        <v>0</v>
      </c>
      <c r="H119" s="14">
        <f t="shared" si="10"/>
        <v>1</v>
      </c>
      <c r="J119" s="28" t="s">
        <v>5</v>
      </c>
      <c r="K119" s="26"/>
      <c r="L119" s="26"/>
      <c r="M119" s="25">
        <f>100%-SUM(K119:L119)</f>
        <v>1</v>
      </c>
    </row>
    <row r="120" spans="1:13" x14ac:dyDescent="0.25">
      <c r="B120" s="19"/>
      <c r="C120" s="11" t="s">
        <v>4</v>
      </c>
      <c r="D120" s="15"/>
      <c r="E120" s="15"/>
      <c r="F120" s="15"/>
      <c r="G120" s="13">
        <v>0</v>
      </c>
      <c r="H120" s="14">
        <f t="shared" si="10"/>
        <v>1</v>
      </c>
    </row>
    <row r="121" spans="1:13" x14ac:dyDescent="0.25">
      <c r="B121" s="19"/>
      <c r="C121" s="11" t="s">
        <v>5</v>
      </c>
      <c r="D121" s="15"/>
      <c r="E121" s="15"/>
      <c r="F121" s="15"/>
      <c r="G121" s="15"/>
      <c r="H121" s="14">
        <f t="shared" si="10"/>
        <v>1</v>
      </c>
    </row>
    <row r="124" spans="1:13" x14ac:dyDescent="0.25">
      <c r="A124" s="4" t="s">
        <v>49</v>
      </c>
      <c r="B124" s="35" t="s">
        <v>45</v>
      </c>
      <c r="C124" s="35"/>
    </row>
    <row r="125" spans="1:13" x14ac:dyDescent="0.25">
      <c r="A125" s="4" t="s">
        <v>46</v>
      </c>
      <c r="B125" s="27">
        <f>K4+K15+K26+K37+K48+K59+K81+K103+K114</f>
        <v>0.18756700000000004</v>
      </c>
      <c r="C125" s="34">
        <f>B125/($B$4+$B$15+$B$26+$B$37+$B$48+$B$59+$B$70+$B$81+$B$92+$B$103+$B$114+$B$125)</f>
        <v>0.15794224662692719</v>
      </c>
    </row>
    <row r="126" spans="1:13" x14ac:dyDescent="0.25">
      <c r="A126" s="4"/>
      <c r="C126" s="24">
        <f>C125+C114+C103+C92+C81+C70+C59+C48+C37+C26+C15+C4</f>
        <v>1</v>
      </c>
    </row>
    <row r="127" spans="1:13" x14ac:dyDescent="0.25">
      <c r="A127" s="4"/>
      <c r="D127" s="11" t="s">
        <v>4</v>
      </c>
      <c r="E127" s="11" t="s">
        <v>5</v>
      </c>
      <c r="F127" s="11" t="s">
        <v>21</v>
      </c>
    </row>
    <row r="128" spans="1:13" x14ac:dyDescent="0.25">
      <c r="C128" s="11" t="s">
        <v>2</v>
      </c>
      <c r="D128" s="25">
        <v>1</v>
      </c>
      <c r="E128" s="25">
        <v>0</v>
      </c>
      <c r="F128" s="25">
        <f>100%-SUM(D128:E128)</f>
        <v>0</v>
      </c>
    </row>
    <row r="129" spans="3:6" x14ac:dyDescent="0.25">
      <c r="C129" s="11" t="s">
        <v>4</v>
      </c>
      <c r="D129" s="26"/>
      <c r="E129" s="29">
        <f>D134</f>
        <v>9.5006264428177653E-2</v>
      </c>
      <c r="F129" s="29">
        <f>100%-SUM(D129:E129)</f>
        <v>0.90499373557182239</v>
      </c>
    </row>
    <row r="130" spans="3:6" x14ac:dyDescent="0.25">
      <c r="C130" s="28" t="s">
        <v>5</v>
      </c>
      <c r="D130" s="26"/>
      <c r="E130" s="26"/>
      <c r="F130" s="25">
        <f>100%-SUM(D130:E130)</f>
        <v>1</v>
      </c>
    </row>
    <row r="132" spans="3:6" ht="15.75" thickBot="1" x14ac:dyDescent="0.3"/>
    <row r="133" spans="3:6" x14ac:dyDescent="0.25">
      <c r="C133" s="30" t="s">
        <v>47</v>
      </c>
      <c r="D133" s="31">
        <f>K37*L41+K48*L52+K114*L118</f>
        <v>1.7820040000000002E-2</v>
      </c>
    </row>
    <row r="134" spans="3:6" ht="15.75" thickBot="1" x14ac:dyDescent="0.3">
      <c r="C134" s="32" t="s">
        <v>48</v>
      </c>
      <c r="D134" s="33">
        <f>D133/B125</f>
        <v>9.5006264428177653E-2</v>
      </c>
    </row>
  </sheetData>
  <mergeCells count="34">
    <mergeCell ref="B124:C124"/>
    <mergeCell ref="B113:D113"/>
    <mergeCell ref="D115:H115"/>
    <mergeCell ref="B117:B121"/>
    <mergeCell ref="B91:D91"/>
    <mergeCell ref="D93:H93"/>
    <mergeCell ref="B95:B99"/>
    <mergeCell ref="B102:D102"/>
    <mergeCell ref="D104:H104"/>
    <mergeCell ref="B106:B110"/>
    <mergeCell ref="B69:D69"/>
    <mergeCell ref="D71:H71"/>
    <mergeCell ref="B73:B77"/>
    <mergeCell ref="B80:D80"/>
    <mergeCell ref="D82:H82"/>
    <mergeCell ref="B84:B88"/>
    <mergeCell ref="B47:D47"/>
    <mergeCell ref="D49:H49"/>
    <mergeCell ref="B51:B55"/>
    <mergeCell ref="B58:D58"/>
    <mergeCell ref="D60:H60"/>
    <mergeCell ref="B62:B66"/>
    <mergeCell ref="B25:D25"/>
    <mergeCell ref="D27:H27"/>
    <mergeCell ref="B29:B33"/>
    <mergeCell ref="B36:D36"/>
    <mergeCell ref="D38:H38"/>
    <mergeCell ref="B40:B44"/>
    <mergeCell ref="B3:D3"/>
    <mergeCell ref="D5:H5"/>
    <mergeCell ref="B7:B11"/>
    <mergeCell ref="B14:D14"/>
    <mergeCell ref="D16:H16"/>
    <mergeCell ref="B18:B22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Arrival and service processes</vt:lpstr>
      <vt:lpstr>Customer classes and routing</vt:lpstr>
      <vt:lpstr>Adjusted class and routing</vt:lpstr>
      <vt:lpstr>'Arrival and service processes'!Print_Area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</dc:creator>
  <cp:lastModifiedBy>Grandia, Jesse</cp:lastModifiedBy>
  <cp:lastPrinted>2026-02-26T10:33:44Z</cp:lastPrinted>
  <dcterms:created xsi:type="dcterms:W3CDTF">2012-05-10T12:45:32Z</dcterms:created>
  <dcterms:modified xsi:type="dcterms:W3CDTF">2026-03-22T17:47:29Z</dcterms:modified>
</cp:coreProperties>
</file>